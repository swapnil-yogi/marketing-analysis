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 2\"/>
    </mc:Choice>
  </mc:AlternateContent>
  <xr:revisionPtr revIDLastSave="0" documentId="13_ncr:1_{50815E39-78D3-4147-BAE0-7A957E7710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Table" sheetId="3" r:id="rId1"/>
    <sheet name="Raw Data" sheetId="1" r:id="rId2"/>
    <sheet name="Summary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4" i="3"/>
  <c r="G5" i="3"/>
  <c r="G6" i="3"/>
  <c r="G7" i="3"/>
  <c r="G8" i="3"/>
  <c r="G4" i="3"/>
  <c r="F4" i="3"/>
  <c r="F5" i="3"/>
  <c r="F6" i="3"/>
  <c r="F7" i="3"/>
  <c r="F8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2" i="1"/>
</calcChain>
</file>

<file path=xl/sharedStrings.xml><?xml version="1.0" encoding="utf-8"?>
<sst xmlns="http://schemas.openxmlformats.org/spreadsheetml/2006/main" count="398" uniqueCount="22">
  <si>
    <t>Date</t>
  </si>
  <si>
    <t>Channel</t>
  </si>
  <si>
    <t>Leads</t>
  </si>
  <si>
    <t>Conversions</t>
  </si>
  <si>
    <t>Ad Spend</t>
  </si>
  <si>
    <t>Conversion Rate</t>
  </si>
  <si>
    <t>Revenue</t>
  </si>
  <si>
    <t>Google Ads</t>
  </si>
  <si>
    <t>Facebook Ads</t>
  </si>
  <si>
    <t>LinkedIn Ads</t>
  </si>
  <si>
    <t>Instagram Ads</t>
  </si>
  <si>
    <t>Campaign Name</t>
  </si>
  <si>
    <t>CPL</t>
  </si>
  <si>
    <t>CPA</t>
  </si>
  <si>
    <t>ROI %</t>
  </si>
  <si>
    <t>Row Labels</t>
  </si>
  <si>
    <t>Grand Total</t>
  </si>
  <si>
    <t>Sum of Revenue</t>
  </si>
  <si>
    <t>Sum of Ad Spend</t>
  </si>
  <si>
    <t>Sum of Leads</t>
  </si>
  <si>
    <t>Sum of Conversions</t>
  </si>
  <si>
    <t>ROI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</si>
</sst>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0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Leads by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Leads</c:v>
          </c:tx>
          <c:invertIfNegative val="0"/>
          <c:cat>
            <c:strRef>
              <c:f>Summary!$B$4:$B$7</c:f>
              <c:strCache>
                <c:ptCount val="4"/>
                <c:pt idx="0">
                  <c:v>Facebook Ads</c:v>
                </c:pt>
                <c:pt idx="1">
                  <c:v>Google Ads</c:v>
                </c:pt>
                <c:pt idx="2">
                  <c:v>Instagram Ads</c:v>
                </c:pt>
                <c:pt idx="3">
                  <c:v>LinkedIn Ads</c:v>
                </c:pt>
              </c:strCache>
            </c:strRef>
          </c:cat>
          <c:val>
            <c:numRef>
              <c:f>Summary!$C$4:$C$7</c:f>
              <c:numCache>
                <c:formatCode>General</c:formatCode>
                <c:ptCount val="4"/>
                <c:pt idx="0">
                  <c:v>2320</c:v>
                </c:pt>
                <c:pt idx="1">
                  <c:v>2352</c:v>
                </c:pt>
                <c:pt idx="2">
                  <c:v>2646</c:v>
                </c:pt>
                <c:pt idx="3">
                  <c:v>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B-410E-AA06-8D3F5893F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2</xdr:row>
      <xdr:rowOff>0</xdr:rowOff>
    </xdr:from>
    <xdr:to>
      <xdr:col>13</xdr:col>
      <xdr:colOff>190500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948752430559" createdVersion="8" refreshedVersion="8" minRefreshableVersion="3" recordCount="360" xr:uid="{3DAE7754-6617-4F9D-9C01-FEAF4589BEF4}">
  <cacheSource type="worksheet">
    <worksheetSource ref="A1:K361" sheet="Raw Data"/>
  </cacheSource>
  <cacheFields count="11">
    <cacheField name="Date" numFmtId="14">
      <sharedItems containsSemiMixedTypes="0" containsNonDate="0" containsDate="1" containsString="0" minDate="2024-01-01T00:00:00" maxDate="2024-03-31T00:00:00"/>
    </cacheField>
    <cacheField name="Channel" numFmtId="0">
      <sharedItems count="4">
        <s v="Google Ads"/>
        <s v="Facebook Ads"/>
        <s v="LinkedIn Ads"/>
        <s v="Instagram Ads"/>
      </sharedItems>
    </cacheField>
    <cacheField name="Campaign Name" numFmtId="0">
      <sharedItems/>
    </cacheField>
    <cacheField name="Leads" numFmtId="0">
      <sharedItems containsSemiMixedTypes="0" containsString="0" containsNumber="1" containsInteger="1" minValue="20" maxValue="149"/>
    </cacheField>
    <cacheField name="Conversions" numFmtId="0">
      <sharedItems containsSemiMixedTypes="0" containsString="0" containsNumber="1" containsInteger="1" minValue="5" maxValue="49"/>
    </cacheField>
    <cacheField name="Ad Spend" numFmtId="0">
      <sharedItems containsSemiMixedTypes="0" containsString="0" containsNumber="1" containsInteger="1" minValue="101" maxValue="1993"/>
    </cacheField>
    <cacheField name="Conversion Rate" numFmtId="0">
      <sharedItems containsSemiMixedTypes="0" containsString="0" containsNumber="1" minValue="0.03" maxValue="1.96"/>
    </cacheField>
    <cacheField name="Revenue" numFmtId="0">
      <sharedItems containsSemiMixedTypes="0" containsString="0" containsNumber="1" containsInteger="1" minValue="250" maxValue="2450"/>
    </cacheField>
    <cacheField name="CPL" numFmtId="164">
      <sharedItems containsSemiMixedTypes="0" containsString="0" containsNumber="1" minValue="0.71631205673758869" maxValue="86.043478260869563"/>
    </cacheField>
    <cacheField name="CPA" numFmtId="164">
      <sharedItems containsSemiMixedTypes="0" containsString="0" containsNumber="1" minValue="2.6444444444444444" maxValue="386.6"/>
    </cacheField>
    <cacheField name="ROI %" numFmtId="10">
      <sharedItems containsSemiMixedTypes="0" containsString="0" containsNumber="1" minValue="-0.87066735644076565" maxValue="17.9075630252100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d v="2024-01-01T00:00:00"/>
    <x v="0"/>
    <s v="Campaign 1"/>
    <n v="121"/>
    <n v="32"/>
    <n v="1204"/>
    <n v="0.26"/>
    <n v="1600"/>
    <n v="9.9504132231404956"/>
    <n v="37.625"/>
    <n v="0.32890365448504982"/>
  </r>
  <r>
    <d v="2024-01-02T00:00:00"/>
    <x v="0"/>
    <s v="Campaign 2"/>
    <n v="128"/>
    <n v="7"/>
    <n v="1083"/>
    <n v="0.05"/>
    <n v="350"/>
    <n v="8.4609375"/>
    <n v="154.71428571428572"/>
    <n v="-0.67682363804247458"/>
  </r>
  <r>
    <d v="2024-01-03T00:00:00"/>
    <x v="0"/>
    <s v="Campaign 3"/>
    <n v="20"/>
    <n v="5"/>
    <n v="1074"/>
    <n v="0.25"/>
    <n v="250"/>
    <n v="53.7"/>
    <n v="214.8"/>
    <n v="-0.76722532588454373"/>
  </r>
  <r>
    <d v="2024-01-04T00:00:00"/>
    <x v="0"/>
    <s v="Campaign 4"/>
    <n v="128"/>
    <n v="41"/>
    <n v="1161"/>
    <n v="0.32"/>
    <n v="2050"/>
    <n v="9.0703125"/>
    <n v="28.317073170731707"/>
    <n v="0.76571920757967271"/>
  </r>
  <r>
    <d v="2024-01-05T00:00:00"/>
    <x v="0"/>
    <s v="Campaign 5"/>
    <n v="58"/>
    <n v="5"/>
    <n v="847"/>
    <n v="0.09"/>
    <n v="250"/>
    <n v="14.603448275862069"/>
    <n v="169.4"/>
    <n v="-0.70484061393152297"/>
  </r>
  <r>
    <d v="2024-01-06T00:00:00"/>
    <x v="0"/>
    <s v="Campaign 6"/>
    <n v="29"/>
    <n v="46"/>
    <n v="614"/>
    <n v="1.59"/>
    <n v="2300"/>
    <n v="21.172413793103448"/>
    <n v="13.347826086956522"/>
    <n v="2.7459283387622149"/>
  </r>
  <r>
    <d v="2024-01-07T00:00:00"/>
    <x v="0"/>
    <s v="Campaign 7"/>
    <n v="69"/>
    <n v="48"/>
    <n v="1307"/>
    <n v="0.7"/>
    <n v="2400"/>
    <n v="18.942028985507246"/>
    <n v="27.229166666666668"/>
    <n v="0.83626625860749804"/>
  </r>
  <r>
    <d v="2024-01-08T00:00:00"/>
    <x v="0"/>
    <s v="Campaign 8"/>
    <n v="45"/>
    <n v="10"/>
    <n v="1915"/>
    <n v="0.22"/>
    <n v="500"/>
    <n v="42.555555555555557"/>
    <n v="191.5"/>
    <n v="-0.7389033942558747"/>
  </r>
  <r>
    <d v="2024-01-09T00:00:00"/>
    <x v="0"/>
    <s v="Campaign 9"/>
    <n v="74"/>
    <n v="9"/>
    <n v="824"/>
    <n v="0.12"/>
    <n v="450"/>
    <n v="11.135135135135135"/>
    <n v="91.555555555555557"/>
    <n v="-0.45388349514563109"/>
  </r>
  <r>
    <d v="2024-01-10T00:00:00"/>
    <x v="0"/>
    <s v="Campaign 10"/>
    <n v="32"/>
    <n v="49"/>
    <n v="499"/>
    <n v="1.53"/>
    <n v="2450"/>
    <n v="15.59375"/>
    <n v="10.183673469387756"/>
    <n v="3.9098196392785569"/>
  </r>
  <r>
    <d v="2024-01-11T00:00:00"/>
    <x v="0"/>
    <s v="Campaign 11"/>
    <n v="54"/>
    <n v="31"/>
    <n v="1138"/>
    <n v="0.56999999999999995"/>
    <n v="1550"/>
    <n v="21.074074074074073"/>
    <n v="36.70967741935484"/>
    <n v="0.36203866432337434"/>
  </r>
  <r>
    <d v="2024-01-12T00:00:00"/>
    <x v="0"/>
    <s v="Campaign 12"/>
    <n v="148"/>
    <n v="25"/>
    <n v="1992"/>
    <n v="0.17"/>
    <n v="1250"/>
    <n v="13.45945945945946"/>
    <n v="79.680000000000007"/>
    <n v="-0.37248995983935745"/>
  </r>
  <r>
    <d v="2024-01-13T00:00:00"/>
    <x v="0"/>
    <s v="Campaign 13"/>
    <n v="29"/>
    <n v="16"/>
    <n v="161"/>
    <n v="0.55000000000000004"/>
    <n v="800"/>
    <n v="5.5517241379310347"/>
    <n v="10.0625"/>
    <n v="3.968944099378882"/>
  </r>
  <r>
    <d v="2024-01-14T00:00:00"/>
    <x v="0"/>
    <s v="Campaign 14"/>
    <n v="127"/>
    <n v="21"/>
    <n v="920"/>
    <n v="0.17"/>
    <n v="1050"/>
    <n v="7.2440944881889759"/>
    <n v="43.80952380952381"/>
    <n v="0.14130434782608695"/>
  </r>
  <r>
    <d v="2024-01-15T00:00:00"/>
    <x v="0"/>
    <s v="Campaign 15"/>
    <n v="136"/>
    <n v="16"/>
    <n v="1685"/>
    <n v="0.12"/>
    <n v="800"/>
    <n v="12.389705882352942"/>
    <n v="105.3125"/>
    <n v="-0.52522255192878342"/>
  </r>
  <r>
    <d v="2024-01-16T00:00:00"/>
    <x v="0"/>
    <s v="Campaign 16"/>
    <n v="45"/>
    <n v="37"/>
    <n v="1779"/>
    <n v="0.82"/>
    <n v="1850"/>
    <n v="39.533333333333331"/>
    <n v="48.081081081081081"/>
    <n v="3.9910061832490164E-2"/>
  </r>
  <r>
    <d v="2024-01-17T00:00:00"/>
    <x v="0"/>
    <s v="Campaign 17"/>
    <n v="25"/>
    <n v="36"/>
    <n v="1950"/>
    <n v="1.44"/>
    <n v="1800"/>
    <n v="78"/>
    <n v="54.166666666666664"/>
    <n v="-7.6923076923076927E-2"/>
  </r>
  <r>
    <d v="2024-01-18T00:00:00"/>
    <x v="0"/>
    <s v="Campaign 18"/>
    <n v="87"/>
    <n v="35"/>
    <n v="426"/>
    <n v="0.4"/>
    <n v="1750"/>
    <n v="4.8965517241379306"/>
    <n v="12.171428571428571"/>
    <n v="3.107981220657277"/>
  </r>
  <r>
    <d v="2024-01-19T00:00:00"/>
    <x v="0"/>
    <s v="Campaign 19"/>
    <n v="68"/>
    <n v="8"/>
    <n v="1733"/>
    <n v="0.12"/>
    <n v="400"/>
    <n v="25.485294117647058"/>
    <n v="216.625"/>
    <n v="-0.76918638199653777"/>
  </r>
  <r>
    <d v="2024-01-20T00:00:00"/>
    <x v="0"/>
    <s v="Campaign 20"/>
    <n v="147"/>
    <n v="6"/>
    <n v="1525"/>
    <n v="0.04"/>
    <n v="300"/>
    <n v="10.374149659863946"/>
    <n v="254.16666666666666"/>
    <n v="-0.80327868852459017"/>
  </r>
  <r>
    <d v="2024-01-21T00:00:00"/>
    <x v="0"/>
    <s v="Campaign 21"/>
    <n v="91"/>
    <n v="44"/>
    <n v="1429"/>
    <n v="0.48"/>
    <n v="2200"/>
    <n v="15.703296703296703"/>
    <n v="32.477272727272727"/>
    <n v="0.53953813855843247"/>
  </r>
  <r>
    <d v="2024-01-22T00:00:00"/>
    <x v="0"/>
    <s v="Campaign 22"/>
    <n v="120"/>
    <n v="40"/>
    <n v="1482"/>
    <n v="0.33"/>
    <n v="2000"/>
    <n v="12.35"/>
    <n v="37.049999999999997"/>
    <n v="0.34952766531713902"/>
  </r>
  <r>
    <d v="2024-01-23T00:00:00"/>
    <x v="0"/>
    <s v="Campaign 23"/>
    <n v="96"/>
    <n v="10"/>
    <n v="1395"/>
    <n v="0.1"/>
    <n v="500"/>
    <n v="14.53125"/>
    <n v="139.5"/>
    <n v="-0.64157706093189959"/>
  </r>
  <r>
    <d v="2024-01-24T00:00:00"/>
    <x v="0"/>
    <s v="Campaign 24"/>
    <n v="103"/>
    <n v="45"/>
    <n v="1216"/>
    <n v="0.44"/>
    <n v="2250"/>
    <n v="11.805825242718447"/>
    <n v="27.022222222222222"/>
    <n v="0.85032894736842102"/>
  </r>
  <r>
    <d v="2024-01-25T00:00:00"/>
    <x v="0"/>
    <s v="Campaign 25"/>
    <n v="141"/>
    <n v="48"/>
    <n v="1153"/>
    <n v="0.34"/>
    <n v="2400"/>
    <n v="8.1773049645390063"/>
    <n v="24.020833333333332"/>
    <n v="1.0815264527320034"/>
  </r>
  <r>
    <d v="2024-01-26T00:00:00"/>
    <x v="0"/>
    <s v="Campaign 26"/>
    <n v="84"/>
    <n v="7"/>
    <n v="466"/>
    <n v="0.08"/>
    <n v="350"/>
    <n v="5.5476190476190474"/>
    <n v="66.571428571428569"/>
    <n v="-0.24892703862660945"/>
  </r>
  <r>
    <d v="2024-01-27T00:00:00"/>
    <x v="0"/>
    <s v="Campaign 27"/>
    <n v="143"/>
    <n v="30"/>
    <n v="1416"/>
    <n v="0.21"/>
    <n v="1500"/>
    <n v="9.9020979020979016"/>
    <n v="47.2"/>
    <n v="5.9322033898305086E-2"/>
  </r>
  <r>
    <d v="2024-01-28T00:00:00"/>
    <x v="0"/>
    <s v="Campaign 28"/>
    <n v="115"/>
    <n v="20"/>
    <n v="813"/>
    <n v="0.17"/>
    <n v="1000"/>
    <n v="7.0695652173913039"/>
    <n v="40.65"/>
    <n v="0.23001230012300122"/>
  </r>
  <r>
    <d v="2024-01-29T00:00:00"/>
    <x v="0"/>
    <s v="Campaign 29"/>
    <n v="53"/>
    <n v="36"/>
    <n v="504"/>
    <n v="0.68"/>
    <n v="1800"/>
    <n v="9.5094339622641506"/>
    <n v="14"/>
    <n v="2.5714285714285716"/>
  </r>
  <r>
    <d v="2024-01-30T00:00:00"/>
    <x v="0"/>
    <s v="Campaign 30"/>
    <n v="46"/>
    <n v="38"/>
    <n v="538"/>
    <n v="0.83"/>
    <n v="1900"/>
    <n v="11.695652173913043"/>
    <n v="14.157894736842104"/>
    <n v="2.5315985130111525"/>
  </r>
  <r>
    <d v="2024-01-31T00:00:00"/>
    <x v="0"/>
    <s v="Campaign 31"/>
    <n v="107"/>
    <n v="27"/>
    <n v="1711"/>
    <n v="0.25"/>
    <n v="1350"/>
    <n v="15.990654205607477"/>
    <n v="63.370370370370374"/>
    <n v="-0.21098772647574518"/>
  </r>
  <r>
    <d v="2024-02-01T00:00:00"/>
    <x v="0"/>
    <s v="Campaign 32"/>
    <n v="105"/>
    <n v="10"/>
    <n v="1550"/>
    <n v="0.1"/>
    <n v="500"/>
    <n v="14.761904761904763"/>
    <n v="155"/>
    <n v="-0.67741935483870963"/>
  </r>
  <r>
    <d v="2024-02-02T00:00:00"/>
    <x v="0"/>
    <s v="Campaign 33"/>
    <n v="116"/>
    <n v="8"/>
    <n v="1082"/>
    <n v="7.0000000000000007E-2"/>
    <n v="400"/>
    <n v="9.3275862068965516"/>
    <n v="135.25"/>
    <n v="-0.63031423290203326"/>
  </r>
  <r>
    <d v="2024-02-03T00:00:00"/>
    <x v="0"/>
    <s v="Campaign 34"/>
    <n v="62"/>
    <n v="19"/>
    <n v="295"/>
    <n v="0.31"/>
    <n v="950"/>
    <n v="4.758064516129032"/>
    <n v="15.526315789473685"/>
    <n v="2.2203389830508473"/>
  </r>
  <r>
    <d v="2024-02-04T00:00:00"/>
    <x v="0"/>
    <s v="Campaign 35"/>
    <n v="102"/>
    <n v="35"/>
    <n v="1825"/>
    <n v="0.34"/>
    <n v="1750"/>
    <n v="17.892156862745097"/>
    <n v="52.142857142857146"/>
    <n v="-4.1095890410958902E-2"/>
  </r>
  <r>
    <d v="2024-02-05T00:00:00"/>
    <x v="0"/>
    <s v="Campaign 36"/>
    <n v="62"/>
    <n v="22"/>
    <n v="1418"/>
    <n v="0.35"/>
    <n v="1100"/>
    <n v="22.870967741935484"/>
    <n v="64.454545454545453"/>
    <n v="-0.22425952045133993"/>
  </r>
  <r>
    <d v="2024-02-06T00:00:00"/>
    <x v="0"/>
    <s v="Campaign 37"/>
    <n v="116"/>
    <n v="17"/>
    <n v="394"/>
    <n v="0.15"/>
    <n v="850"/>
    <n v="3.396551724137931"/>
    <n v="23.176470588235293"/>
    <n v="1.1573604060913705"/>
  </r>
  <r>
    <d v="2024-02-07T00:00:00"/>
    <x v="0"/>
    <s v="Campaign 38"/>
    <n v="106"/>
    <n v="23"/>
    <n v="1351"/>
    <n v="0.22"/>
    <n v="1150"/>
    <n v="12.745283018867925"/>
    <n v="58.739130434782609"/>
    <n v="-0.14877868245743894"/>
  </r>
  <r>
    <d v="2024-02-08T00:00:00"/>
    <x v="0"/>
    <s v="Campaign 39"/>
    <n v="76"/>
    <n v="26"/>
    <n v="1105"/>
    <n v="0.34"/>
    <n v="1300"/>
    <n v="14.539473684210526"/>
    <n v="42.5"/>
    <n v="0.17647058823529413"/>
  </r>
  <r>
    <d v="2024-02-09T00:00:00"/>
    <x v="0"/>
    <s v="Campaign 40"/>
    <n v="120"/>
    <n v="42"/>
    <n v="540"/>
    <n v="0.35"/>
    <n v="2100"/>
    <n v="4.5"/>
    <n v="12.857142857142858"/>
    <n v="2.8888888888888888"/>
  </r>
  <r>
    <d v="2024-02-10T00:00:00"/>
    <x v="0"/>
    <s v="Campaign 41"/>
    <n v="118"/>
    <n v="18"/>
    <n v="1253"/>
    <n v="0.15"/>
    <n v="900"/>
    <n v="10.618644067796611"/>
    <n v="69.611111111111114"/>
    <n v="-0.28172386272944933"/>
  </r>
  <r>
    <d v="2024-02-11T00:00:00"/>
    <x v="0"/>
    <s v="Campaign 42"/>
    <n v="52"/>
    <n v="16"/>
    <n v="640"/>
    <n v="0.31"/>
    <n v="800"/>
    <n v="12.307692307692308"/>
    <n v="40"/>
    <n v="0.25"/>
  </r>
  <r>
    <d v="2024-02-12T00:00:00"/>
    <x v="0"/>
    <s v="Campaign 43"/>
    <n v="73"/>
    <n v="45"/>
    <n v="717"/>
    <n v="0.62"/>
    <n v="2250"/>
    <n v="9.8219178082191778"/>
    <n v="15.933333333333334"/>
    <n v="2.1380753138075312"/>
  </r>
  <r>
    <d v="2024-02-13T00:00:00"/>
    <x v="0"/>
    <s v="Campaign 44"/>
    <n v="32"/>
    <n v="48"/>
    <n v="508"/>
    <n v="1.5"/>
    <n v="2400"/>
    <n v="15.875"/>
    <n v="10.583333333333334"/>
    <n v="3.7244094488188977"/>
  </r>
  <r>
    <d v="2024-02-14T00:00:00"/>
    <x v="0"/>
    <s v="Campaign 45"/>
    <n v="45"/>
    <n v="8"/>
    <n v="571"/>
    <n v="0.18"/>
    <n v="400"/>
    <n v="12.688888888888888"/>
    <n v="71.375"/>
    <n v="-0.29947460595446584"/>
  </r>
  <r>
    <d v="2024-02-15T00:00:00"/>
    <x v="0"/>
    <s v="Campaign 46"/>
    <n v="32"/>
    <n v="36"/>
    <n v="526"/>
    <n v="1.1200000000000001"/>
    <n v="1800"/>
    <n v="16.4375"/>
    <n v="14.611111111111111"/>
    <n v="2.4220532319391634"/>
  </r>
  <r>
    <d v="2024-02-16T00:00:00"/>
    <x v="0"/>
    <s v="Campaign 47"/>
    <n v="86"/>
    <n v="35"/>
    <n v="1021"/>
    <n v="0.41"/>
    <n v="1750"/>
    <n v="11.872093023255815"/>
    <n v="29.171428571428571"/>
    <n v="0.71400587659157688"/>
  </r>
  <r>
    <d v="2024-02-17T00:00:00"/>
    <x v="0"/>
    <s v="Campaign 48"/>
    <n v="42"/>
    <n v="19"/>
    <n v="158"/>
    <n v="0.45"/>
    <n v="950"/>
    <n v="3.7619047619047619"/>
    <n v="8.3157894736842106"/>
    <n v="5.0126582278481013"/>
  </r>
  <r>
    <d v="2024-02-18T00:00:00"/>
    <x v="0"/>
    <s v="Campaign 49"/>
    <n v="126"/>
    <n v="12"/>
    <n v="1608"/>
    <n v="0.1"/>
    <n v="600"/>
    <n v="12.761904761904763"/>
    <n v="134"/>
    <n v="-0.62686567164179108"/>
  </r>
  <r>
    <d v="2024-02-19T00:00:00"/>
    <x v="0"/>
    <s v="Campaign 50"/>
    <n v="102"/>
    <n v="35"/>
    <n v="1610"/>
    <n v="0.34"/>
    <n v="1750"/>
    <n v="15.784313725490197"/>
    <n v="46"/>
    <n v="8.6956521739130432E-2"/>
  </r>
  <r>
    <d v="2024-02-20T00:00:00"/>
    <x v="0"/>
    <s v="Campaign 51"/>
    <n v="30"/>
    <n v="16"/>
    <n v="382"/>
    <n v="0.53"/>
    <n v="800"/>
    <n v="12.733333333333333"/>
    <n v="23.875"/>
    <n v="1.0942408376963351"/>
  </r>
  <r>
    <d v="2024-02-21T00:00:00"/>
    <x v="0"/>
    <s v="Campaign 52"/>
    <n v="82"/>
    <n v="6"/>
    <n v="1645"/>
    <n v="7.0000000000000007E-2"/>
    <n v="300"/>
    <n v="20.060975609756099"/>
    <n v="274.16666666666669"/>
    <n v="-0.81762917933130697"/>
  </r>
  <r>
    <d v="2024-02-22T00:00:00"/>
    <x v="0"/>
    <s v="Campaign 53"/>
    <n v="120"/>
    <n v="6"/>
    <n v="1354"/>
    <n v="0.05"/>
    <n v="300"/>
    <n v="11.283333333333333"/>
    <n v="225.66666666666666"/>
    <n v="-0.7784342688330872"/>
  </r>
  <r>
    <d v="2024-02-23T00:00:00"/>
    <x v="0"/>
    <s v="Campaign 54"/>
    <n v="57"/>
    <n v="45"/>
    <n v="1420"/>
    <n v="0.79"/>
    <n v="2250"/>
    <n v="24.912280701754387"/>
    <n v="31.555555555555557"/>
    <n v="0.58450704225352113"/>
  </r>
  <r>
    <d v="2024-02-24T00:00:00"/>
    <x v="0"/>
    <s v="Campaign 55"/>
    <n v="58"/>
    <n v="7"/>
    <n v="669"/>
    <n v="0.12"/>
    <n v="350"/>
    <n v="11.53448275862069"/>
    <n v="95.571428571428569"/>
    <n v="-0.47683109118086697"/>
  </r>
  <r>
    <d v="2024-02-25T00:00:00"/>
    <x v="0"/>
    <s v="Campaign 56"/>
    <n v="123"/>
    <n v="43"/>
    <n v="1006"/>
    <n v="0.35"/>
    <n v="2150"/>
    <n v="8.1788617886178869"/>
    <n v="23.395348837209301"/>
    <n v="1.1371769383697814"/>
  </r>
  <r>
    <d v="2024-02-26T00:00:00"/>
    <x v="0"/>
    <s v="Campaign 57"/>
    <n v="71"/>
    <n v="34"/>
    <n v="1782"/>
    <n v="0.48"/>
    <n v="1700"/>
    <n v="25.098591549295776"/>
    <n v="52.411764705882355"/>
    <n v="-4.6015712682379348E-2"/>
  </r>
  <r>
    <d v="2024-02-27T00:00:00"/>
    <x v="0"/>
    <s v="Campaign 58"/>
    <n v="137"/>
    <n v="14"/>
    <n v="276"/>
    <n v="0.1"/>
    <n v="700"/>
    <n v="2.0145985401459856"/>
    <n v="19.714285714285715"/>
    <n v="1.536231884057971"/>
  </r>
  <r>
    <d v="2024-02-28T00:00:00"/>
    <x v="0"/>
    <s v="Campaign 59"/>
    <n v="91"/>
    <n v="13"/>
    <n v="1822"/>
    <n v="0.14000000000000001"/>
    <n v="650"/>
    <n v="20.021978021978022"/>
    <n v="140.15384615384616"/>
    <n v="-0.64324917672886939"/>
  </r>
  <r>
    <d v="2024-02-29T00:00:00"/>
    <x v="0"/>
    <s v="Campaign 60"/>
    <n v="43"/>
    <n v="49"/>
    <n v="1936"/>
    <n v="1.1399999999999999"/>
    <n v="2450"/>
    <n v="45.02325581395349"/>
    <n v="39.510204081632651"/>
    <n v="0.26549586776859502"/>
  </r>
  <r>
    <d v="2024-03-01T00:00:00"/>
    <x v="0"/>
    <s v="Campaign 61"/>
    <n v="123"/>
    <n v="10"/>
    <n v="1933"/>
    <n v="0.08"/>
    <n v="500"/>
    <n v="15.715447154471544"/>
    <n v="193.3"/>
    <n v="-0.7413347128815313"/>
  </r>
  <r>
    <d v="2024-03-02T00:00:00"/>
    <x v="0"/>
    <s v="Campaign 62"/>
    <n v="125"/>
    <n v="33"/>
    <n v="1061"/>
    <n v="0.26"/>
    <n v="1650"/>
    <n v="8.4879999999999995"/>
    <n v="32.151515151515149"/>
    <n v="0.55513666352497648"/>
  </r>
  <r>
    <d v="2024-03-03T00:00:00"/>
    <x v="0"/>
    <s v="Campaign 63"/>
    <n v="102"/>
    <n v="19"/>
    <n v="332"/>
    <n v="0.19"/>
    <n v="950"/>
    <n v="3.2549019607843137"/>
    <n v="17.473684210526315"/>
    <n v="1.8614457831325302"/>
  </r>
  <r>
    <d v="2024-03-04T00:00:00"/>
    <x v="0"/>
    <s v="Campaign 64"/>
    <n v="33"/>
    <n v="18"/>
    <n v="944"/>
    <n v="0.55000000000000004"/>
    <n v="900"/>
    <n v="28.606060606060606"/>
    <n v="52.444444444444443"/>
    <n v="-4.6610169491525424E-2"/>
  </r>
  <r>
    <d v="2024-03-05T00:00:00"/>
    <x v="0"/>
    <s v="Campaign 65"/>
    <n v="112"/>
    <n v="27"/>
    <n v="394"/>
    <n v="0.24"/>
    <n v="1350"/>
    <n v="3.5178571428571428"/>
    <n v="14.592592592592593"/>
    <n v="2.4263959390862944"/>
  </r>
  <r>
    <d v="2024-03-06T00:00:00"/>
    <x v="0"/>
    <s v="Campaign 66"/>
    <n v="20"/>
    <n v="30"/>
    <n v="714"/>
    <n v="1.5"/>
    <n v="1500"/>
    <n v="35.700000000000003"/>
    <n v="23.8"/>
    <n v="1.1008403361344539"/>
  </r>
  <r>
    <d v="2024-03-07T00:00:00"/>
    <x v="0"/>
    <s v="Campaign 67"/>
    <n v="46"/>
    <n v="43"/>
    <n v="1108"/>
    <n v="0.93"/>
    <n v="2150"/>
    <n v="24.086956521739129"/>
    <n v="25.767441860465116"/>
    <n v="0.94043321299638993"/>
  </r>
  <r>
    <d v="2024-03-08T00:00:00"/>
    <x v="0"/>
    <s v="Campaign 68"/>
    <n v="142"/>
    <n v="47"/>
    <n v="1212"/>
    <n v="0.33"/>
    <n v="2350"/>
    <n v="8.535211267605634"/>
    <n v="25.787234042553191"/>
    <n v="0.93894389438943893"/>
  </r>
  <r>
    <d v="2024-03-09T00:00:00"/>
    <x v="0"/>
    <s v="Campaign 69"/>
    <n v="116"/>
    <n v="40"/>
    <n v="1427"/>
    <n v="0.34"/>
    <n v="2000"/>
    <n v="12.301724137931034"/>
    <n v="35.674999999999997"/>
    <n v="0.40154169586545202"/>
  </r>
  <r>
    <d v="2024-03-10T00:00:00"/>
    <x v="0"/>
    <s v="Campaign 70"/>
    <n v="104"/>
    <n v="13"/>
    <n v="1858"/>
    <n v="0.12"/>
    <n v="650"/>
    <n v="17.865384615384617"/>
    <n v="142.92307692307693"/>
    <n v="-0.65016146393972007"/>
  </r>
  <r>
    <d v="2024-03-11T00:00:00"/>
    <x v="0"/>
    <s v="Campaign 71"/>
    <n v="141"/>
    <n v="36"/>
    <n v="727"/>
    <n v="0.26"/>
    <n v="1800"/>
    <n v="5.1560283687943258"/>
    <n v="20.194444444444443"/>
    <n v="1.4759284731774416"/>
  </r>
  <r>
    <d v="2024-03-12T00:00:00"/>
    <x v="0"/>
    <s v="Campaign 72"/>
    <n v="113"/>
    <n v="21"/>
    <n v="1236"/>
    <n v="0.19"/>
    <n v="1050"/>
    <n v="10.938053097345133"/>
    <n v="58.857142857142854"/>
    <n v="-0.15048543689320387"/>
  </r>
  <r>
    <d v="2024-03-13T00:00:00"/>
    <x v="0"/>
    <s v="Campaign 73"/>
    <n v="131"/>
    <n v="17"/>
    <n v="559"/>
    <n v="0.13"/>
    <n v="850"/>
    <n v="4.2671755725190836"/>
    <n v="32.882352941176471"/>
    <n v="0.52057245080500891"/>
  </r>
  <r>
    <d v="2024-03-14T00:00:00"/>
    <x v="0"/>
    <s v="Campaign 74"/>
    <n v="135"/>
    <n v="39"/>
    <n v="524"/>
    <n v="0.28999999999999998"/>
    <n v="1950"/>
    <n v="3.8814814814814813"/>
    <n v="13.435897435897436"/>
    <n v="2.7213740458015265"/>
  </r>
  <r>
    <d v="2024-03-15T00:00:00"/>
    <x v="0"/>
    <s v="Campaign 75"/>
    <n v="35"/>
    <n v="7"/>
    <n v="1426"/>
    <n v="0.2"/>
    <n v="350"/>
    <n v="40.74285714285714"/>
    <n v="203.71428571428572"/>
    <n v="-0.75455820476858348"/>
  </r>
  <r>
    <d v="2024-03-16T00:00:00"/>
    <x v="0"/>
    <s v="Campaign 76"/>
    <n v="133"/>
    <n v="42"/>
    <n v="1454"/>
    <n v="0.32"/>
    <n v="2100"/>
    <n v="10.93233082706767"/>
    <n v="34.61904761904762"/>
    <n v="0.44429160935350759"/>
  </r>
  <r>
    <d v="2024-03-17T00:00:00"/>
    <x v="0"/>
    <s v="Campaign 77"/>
    <n v="149"/>
    <n v="33"/>
    <n v="481"/>
    <n v="0.22"/>
    <n v="1650"/>
    <n v="3.2281879194630871"/>
    <n v="14.575757575757576"/>
    <n v="2.4303534303534304"/>
  </r>
  <r>
    <d v="2024-03-18T00:00:00"/>
    <x v="0"/>
    <s v="Campaign 78"/>
    <n v="109"/>
    <n v="30"/>
    <n v="1012"/>
    <n v="0.28000000000000003"/>
    <n v="1500"/>
    <n v="9.2844036697247709"/>
    <n v="33.733333333333334"/>
    <n v="0.48221343873517786"/>
  </r>
  <r>
    <d v="2024-03-19T00:00:00"/>
    <x v="0"/>
    <s v="Campaign 79"/>
    <n v="101"/>
    <n v="45"/>
    <n v="1280"/>
    <n v="0.45"/>
    <n v="2250"/>
    <n v="12.673267326732674"/>
    <n v="28.444444444444443"/>
    <n v="0.7578125"/>
  </r>
  <r>
    <d v="2024-03-20T00:00:00"/>
    <x v="0"/>
    <s v="Campaign 80"/>
    <n v="122"/>
    <n v="49"/>
    <n v="1320"/>
    <n v="0.4"/>
    <n v="2450"/>
    <n v="10.819672131147541"/>
    <n v="26.938775510204081"/>
    <n v="0.85606060606060608"/>
  </r>
  <r>
    <d v="2024-03-21T00:00:00"/>
    <x v="0"/>
    <s v="Campaign 81"/>
    <n v="56"/>
    <n v="11"/>
    <n v="1822"/>
    <n v="0.2"/>
    <n v="550"/>
    <n v="32.535714285714285"/>
    <n v="165.63636363636363"/>
    <n v="-0.69813391877058173"/>
  </r>
  <r>
    <d v="2024-03-22T00:00:00"/>
    <x v="0"/>
    <s v="Campaign 82"/>
    <n v="42"/>
    <n v="22"/>
    <n v="926"/>
    <n v="0.52"/>
    <n v="1100"/>
    <n v="22.047619047619047"/>
    <n v="42.090909090909093"/>
    <n v="0.18790496760259179"/>
  </r>
  <r>
    <d v="2024-03-23T00:00:00"/>
    <x v="0"/>
    <s v="Campaign 83"/>
    <n v="110"/>
    <n v="6"/>
    <n v="1339"/>
    <n v="0.05"/>
    <n v="300"/>
    <n v="12.172727272727272"/>
    <n v="223.16666666666666"/>
    <n v="-0.77595220313666913"/>
  </r>
  <r>
    <d v="2024-03-24T00:00:00"/>
    <x v="0"/>
    <s v="Campaign 84"/>
    <n v="134"/>
    <n v="45"/>
    <n v="1415"/>
    <n v="0.34"/>
    <n v="2250"/>
    <n v="10.559701492537313"/>
    <n v="31.444444444444443"/>
    <n v="0.59010600706713778"/>
  </r>
  <r>
    <d v="2024-03-25T00:00:00"/>
    <x v="0"/>
    <s v="Campaign 85"/>
    <n v="23"/>
    <n v="25"/>
    <n v="624"/>
    <n v="1.0900000000000001"/>
    <n v="1250"/>
    <n v="27.130434782608695"/>
    <n v="24.96"/>
    <n v="1.0032051282051282"/>
  </r>
  <r>
    <d v="2024-03-26T00:00:00"/>
    <x v="0"/>
    <s v="Campaign 86"/>
    <n v="63"/>
    <n v="18"/>
    <n v="260"/>
    <n v="0.28999999999999998"/>
    <n v="900"/>
    <n v="4.1269841269841274"/>
    <n v="14.444444444444445"/>
    <n v="2.4615384615384617"/>
  </r>
  <r>
    <d v="2024-03-27T00:00:00"/>
    <x v="0"/>
    <s v="Campaign 87"/>
    <n v="98"/>
    <n v="18"/>
    <n v="510"/>
    <n v="0.18"/>
    <n v="900"/>
    <n v="5.204081632653061"/>
    <n v="28.333333333333332"/>
    <n v="0.76470588235294112"/>
  </r>
  <r>
    <d v="2024-03-28T00:00:00"/>
    <x v="0"/>
    <s v="Campaign 88"/>
    <n v="113"/>
    <n v="27"/>
    <n v="1022"/>
    <n v="0.24"/>
    <n v="1350"/>
    <n v="9.0442477876106189"/>
    <n v="37.851851851851855"/>
    <n v="0.32093933463796476"/>
  </r>
  <r>
    <d v="2024-03-29T00:00:00"/>
    <x v="0"/>
    <s v="Campaign 89"/>
    <n v="102"/>
    <n v="23"/>
    <n v="920"/>
    <n v="0.23"/>
    <n v="1150"/>
    <n v="9.0196078431372548"/>
    <n v="40"/>
    <n v="0.25"/>
  </r>
  <r>
    <d v="2024-03-30T00:00:00"/>
    <x v="0"/>
    <s v="Campaign 90"/>
    <n v="92"/>
    <n v="23"/>
    <n v="453"/>
    <n v="0.25"/>
    <n v="1150"/>
    <n v="4.9239130434782608"/>
    <n v="19.695652173913043"/>
    <n v="1.5386313465783665"/>
  </r>
  <r>
    <d v="2024-01-01T00:00:00"/>
    <x v="1"/>
    <s v="Campaign 91"/>
    <n v="99"/>
    <n v="42"/>
    <n v="1314"/>
    <n v="0.42"/>
    <n v="2100"/>
    <n v="13.272727272727273"/>
    <n v="31.285714285714285"/>
    <n v="0.59817351598173518"/>
  </r>
  <r>
    <d v="2024-01-02T00:00:00"/>
    <x v="1"/>
    <s v="Campaign 92"/>
    <n v="130"/>
    <n v="18"/>
    <n v="1440"/>
    <n v="0.14000000000000001"/>
    <n v="900"/>
    <n v="11.076923076923077"/>
    <n v="80"/>
    <n v="-0.375"/>
  </r>
  <r>
    <d v="2024-01-03T00:00:00"/>
    <x v="1"/>
    <s v="Campaign 93"/>
    <n v="108"/>
    <n v="6"/>
    <n v="1746"/>
    <n v="0.06"/>
    <n v="300"/>
    <n v="16.166666666666668"/>
    <n v="291"/>
    <n v="-0.82817869415807566"/>
  </r>
  <r>
    <d v="2024-01-04T00:00:00"/>
    <x v="1"/>
    <s v="Campaign 94"/>
    <n v="133"/>
    <n v="19"/>
    <n v="1993"/>
    <n v="0.14000000000000001"/>
    <n v="950"/>
    <n v="14.984962406015038"/>
    <n v="104.89473684210526"/>
    <n v="-0.52333166081284499"/>
  </r>
  <r>
    <d v="2024-01-05T00:00:00"/>
    <x v="1"/>
    <s v="Campaign 95"/>
    <n v="142"/>
    <n v="13"/>
    <n v="826"/>
    <n v="0.09"/>
    <n v="650"/>
    <n v="5.816901408450704"/>
    <n v="63.53846153846154"/>
    <n v="-0.21307506053268765"/>
  </r>
  <r>
    <d v="2024-01-06T00:00:00"/>
    <x v="1"/>
    <s v="Campaign 96"/>
    <n v="121"/>
    <n v="48"/>
    <n v="1550"/>
    <n v="0.4"/>
    <n v="2400"/>
    <n v="12.809917355371901"/>
    <n v="32.291666666666664"/>
    <n v="0.54838709677419351"/>
  </r>
  <r>
    <d v="2024-01-07T00:00:00"/>
    <x v="1"/>
    <s v="Campaign 97"/>
    <n v="98"/>
    <n v="7"/>
    <n v="313"/>
    <n v="7.0000000000000007E-2"/>
    <n v="350"/>
    <n v="3.193877551020408"/>
    <n v="44.714285714285715"/>
    <n v="0.1182108626198083"/>
  </r>
  <r>
    <d v="2024-01-08T00:00:00"/>
    <x v="1"/>
    <s v="Campaign 98"/>
    <n v="73"/>
    <n v="8"/>
    <n v="354"/>
    <n v="0.11"/>
    <n v="400"/>
    <n v="4.8493150684931505"/>
    <n v="44.25"/>
    <n v="0.12994350282485875"/>
  </r>
  <r>
    <d v="2024-01-09T00:00:00"/>
    <x v="1"/>
    <s v="Campaign 99"/>
    <n v="86"/>
    <n v="31"/>
    <n v="423"/>
    <n v="0.36"/>
    <n v="1550"/>
    <n v="4.9186046511627906"/>
    <n v="13.64516129032258"/>
    <n v="2.6643026004728134"/>
  </r>
  <r>
    <d v="2024-01-10T00:00:00"/>
    <x v="1"/>
    <s v="Campaign 100"/>
    <n v="102"/>
    <n v="49"/>
    <n v="950"/>
    <n v="0.48"/>
    <n v="2450"/>
    <n v="9.3137254901960791"/>
    <n v="19.387755102040817"/>
    <n v="1.5789473684210527"/>
  </r>
  <r>
    <d v="2024-01-11T00:00:00"/>
    <x v="1"/>
    <s v="Campaign 101"/>
    <n v="144"/>
    <n v="27"/>
    <n v="1775"/>
    <n v="0.19"/>
    <n v="1350"/>
    <n v="12.326388888888889"/>
    <n v="65.740740740740748"/>
    <n v="-0.23943661971830985"/>
  </r>
  <r>
    <d v="2024-01-12T00:00:00"/>
    <x v="1"/>
    <s v="Campaign 102"/>
    <n v="23"/>
    <n v="10"/>
    <n v="355"/>
    <n v="0.43"/>
    <n v="500"/>
    <n v="15.434782608695652"/>
    <n v="35.5"/>
    <n v="0.40845070422535212"/>
  </r>
  <r>
    <d v="2024-01-13T00:00:00"/>
    <x v="1"/>
    <s v="Campaign 103"/>
    <n v="66"/>
    <n v="9"/>
    <n v="1424"/>
    <n v="0.14000000000000001"/>
    <n v="450"/>
    <n v="21.575757575757574"/>
    <n v="158.22222222222223"/>
    <n v="-0.6839887640449438"/>
  </r>
  <r>
    <d v="2024-01-14T00:00:00"/>
    <x v="1"/>
    <s v="Campaign 104"/>
    <n v="145"/>
    <n v="13"/>
    <n v="1107"/>
    <n v="0.09"/>
    <n v="650"/>
    <n v="7.63448275862069"/>
    <n v="85.15384615384616"/>
    <n v="-0.41282746160794942"/>
  </r>
  <r>
    <d v="2024-01-15T00:00:00"/>
    <x v="1"/>
    <s v="Campaign 105"/>
    <n v="95"/>
    <n v="41"/>
    <n v="1428"/>
    <n v="0.43"/>
    <n v="2050"/>
    <n v="15.031578947368422"/>
    <n v="34.829268292682926"/>
    <n v="0.43557422969187676"/>
  </r>
  <r>
    <d v="2024-01-16T00:00:00"/>
    <x v="1"/>
    <s v="Campaign 106"/>
    <n v="52"/>
    <n v="8"/>
    <n v="1058"/>
    <n v="0.15"/>
    <n v="400"/>
    <n v="20.346153846153847"/>
    <n v="132.25"/>
    <n v="-0.62192816635160686"/>
  </r>
  <r>
    <d v="2024-01-17T00:00:00"/>
    <x v="1"/>
    <s v="Campaign 107"/>
    <n v="44"/>
    <n v="43"/>
    <n v="142"/>
    <n v="0.98"/>
    <n v="2150"/>
    <n v="3.2272727272727271"/>
    <n v="3.3023255813953489"/>
    <n v="14.140845070422536"/>
  </r>
  <r>
    <d v="2024-01-18T00:00:00"/>
    <x v="1"/>
    <s v="Campaign 108"/>
    <n v="56"/>
    <n v="18"/>
    <n v="487"/>
    <n v="0.32"/>
    <n v="900"/>
    <n v="8.6964285714285712"/>
    <n v="27.055555555555557"/>
    <n v="0.84804928131416835"/>
  </r>
  <r>
    <d v="2024-01-19T00:00:00"/>
    <x v="1"/>
    <s v="Campaign 109"/>
    <n v="136"/>
    <n v="44"/>
    <n v="754"/>
    <n v="0.32"/>
    <n v="2200"/>
    <n v="5.5441176470588234"/>
    <n v="17.136363636363637"/>
    <n v="1.9177718832891246"/>
  </r>
  <r>
    <d v="2024-01-20T00:00:00"/>
    <x v="1"/>
    <s v="Campaign 110"/>
    <n v="126"/>
    <n v="8"/>
    <n v="1543"/>
    <n v="0.06"/>
    <n v="400"/>
    <n v="12.246031746031745"/>
    <n v="192.875"/>
    <n v="-0.74076474400518466"/>
  </r>
  <r>
    <d v="2024-01-21T00:00:00"/>
    <x v="1"/>
    <s v="Campaign 111"/>
    <n v="23"/>
    <n v="16"/>
    <n v="1886"/>
    <n v="0.7"/>
    <n v="800"/>
    <n v="82"/>
    <n v="117.875"/>
    <n v="-0.57582184517497348"/>
  </r>
  <r>
    <d v="2024-01-22T00:00:00"/>
    <x v="1"/>
    <s v="Campaign 112"/>
    <n v="73"/>
    <n v="39"/>
    <n v="457"/>
    <n v="0.53"/>
    <n v="1950"/>
    <n v="6.2602739726027394"/>
    <n v="11.717948717948717"/>
    <n v="3.2669584245076586"/>
  </r>
  <r>
    <d v="2024-01-23T00:00:00"/>
    <x v="1"/>
    <s v="Campaign 113"/>
    <n v="129"/>
    <n v="30"/>
    <n v="1317"/>
    <n v="0.23"/>
    <n v="1500"/>
    <n v="10.209302325581396"/>
    <n v="43.9"/>
    <n v="0.13895216400911162"/>
  </r>
  <r>
    <d v="2024-01-24T00:00:00"/>
    <x v="1"/>
    <s v="Campaign 114"/>
    <n v="105"/>
    <n v="18"/>
    <n v="131"/>
    <n v="0.17"/>
    <n v="900"/>
    <n v="1.2476190476190476"/>
    <n v="7.2777777777777777"/>
    <n v="5.8702290076335881"/>
  </r>
  <r>
    <d v="2024-01-25T00:00:00"/>
    <x v="1"/>
    <s v="Campaign 115"/>
    <n v="68"/>
    <n v="12"/>
    <n v="947"/>
    <n v="0.18"/>
    <n v="600"/>
    <n v="13.926470588235293"/>
    <n v="78.916666666666671"/>
    <n v="-0.36642027455121434"/>
  </r>
  <r>
    <d v="2024-01-26T00:00:00"/>
    <x v="1"/>
    <s v="Campaign 116"/>
    <n v="41"/>
    <n v="14"/>
    <n v="1316"/>
    <n v="0.34"/>
    <n v="700"/>
    <n v="32.097560975609753"/>
    <n v="94"/>
    <n v="-0.46808510638297873"/>
  </r>
  <r>
    <d v="2024-01-27T00:00:00"/>
    <x v="1"/>
    <s v="Campaign 117"/>
    <n v="146"/>
    <n v="14"/>
    <n v="944"/>
    <n v="0.1"/>
    <n v="700"/>
    <n v="6.4657534246575343"/>
    <n v="67.428571428571431"/>
    <n v="-0.25847457627118642"/>
  </r>
  <r>
    <d v="2024-01-28T00:00:00"/>
    <x v="1"/>
    <s v="Campaign 118"/>
    <n v="49"/>
    <n v="40"/>
    <n v="991"/>
    <n v="0.82"/>
    <n v="2000"/>
    <n v="20.224489795918366"/>
    <n v="24.774999999999999"/>
    <n v="1.0181634712411705"/>
  </r>
  <r>
    <d v="2024-01-29T00:00:00"/>
    <x v="1"/>
    <s v="Campaign 119"/>
    <n v="111"/>
    <n v="21"/>
    <n v="538"/>
    <n v="0.19"/>
    <n v="1050"/>
    <n v="4.8468468468468471"/>
    <n v="25.61904761904762"/>
    <n v="0.95167286245353155"/>
  </r>
  <r>
    <d v="2024-01-30T00:00:00"/>
    <x v="1"/>
    <s v="Campaign 120"/>
    <n v="78"/>
    <n v="21"/>
    <n v="820"/>
    <n v="0.27"/>
    <n v="1050"/>
    <n v="10.512820512820513"/>
    <n v="39.047619047619051"/>
    <n v="0.28048780487804881"/>
  </r>
  <r>
    <d v="2024-01-31T00:00:00"/>
    <x v="1"/>
    <s v="Campaign 121"/>
    <n v="92"/>
    <n v="14"/>
    <n v="1510"/>
    <n v="0.15"/>
    <n v="700"/>
    <n v="16.413043478260871"/>
    <n v="107.85714285714286"/>
    <n v="-0.53642384105960261"/>
  </r>
  <r>
    <d v="2024-02-01T00:00:00"/>
    <x v="1"/>
    <s v="Campaign 122"/>
    <n v="27"/>
    <n v="40"/>
    <n v="161"/>
    <n v="1.48"/>
    <n v="2000"/>
    <n v="5.9629629629629628"/>
    <n v="4.0250000000000004"/>
    <n v="11.422360248447205"/>
  </r>
  <r>
    <d v="2024-02-02T00:00:00"/>
    <x v="1"/>
    <s v="Campaign 123"/>
    <n v="52"/>
    <n v="7"/>
    <n v="1752"/>
    <n v="0.13"/>
    <n v="350"/>
    <n v="33.692307692307693"/>
    <n v="250.28571428571428"/>
    <n v="-0.80022831050228316"/>
  </r>
  <r>
    <d v="2024-02-03T00:00:00"/>
    <x v="1"/>
    <s v="Campaign 124"/>
    <n v="68"/>
    <n v="25"/>
    <n v="1218"/>
    <n v="0.37"/>
    <n v="1250"/>
    <n v="17.911764705882351"/>
    <n v="48.72"/>
    <n v="2.6272577996715927E-2"/>
  </r>
  <r>
    <d v="2024-02-04T00:00:00"/>
    <x v="1"/>
    <s v="Campaign 125"/>
    <n v="130"/>
    <n v="6"/>
    <n v="1338"/>
    <n v="0.05"/>
    <n v="300"/>
    <n v="10.292307692307693"/>
    <n v="223"/>
    <n v="-0.77578475336322872"/>
  </r>
  <r>
    <d v="2024-02-05T00:00:00"/>
    <x v="1"/>
    <s v="Campaign 126"/>
    <n v="40"/>
    <n v="22"/>
    <n v="664"/>
    <n v="0.55000000000000004"/>
    <n v="1100"/>
    <n v="16.600000000000001"/>
    <n v="30.181818181818183"/>
    <n v="0.65662650602409633"/>
  </r>
  <r>
    <d v="2024-02-06T00:00:00"/>
    <x v="1"/>
    <s v="Campaign 127"/>
    <n v="120"/>
    <n v="28"/>
    <n v="1381"/>
    <n v="0.23"/>
    <n v="1400"/>
    <n v="11.508333333333333"/>
    <n v="49.321428571428569"/>
    <n v="1.3758146270818247E-2"/>
  </r>
  <r>
    <d v="2024-02-07T00:00:00"/>
    <x v="1"/>
    <s v="Campaign 128"/>
    <n v="45"/>
    <n v="49"/>
    <n v="1813"/>
    <n v="1.0900000000000001"/>
    <n v="2450"/>
    <n v="40.288888888888891"/>
    <n v="37"/>
    <n v="0.35135135135135137"/>
  </r>
  <r>
    <d v="2024-02-08T00:00:00"/>
    <x v="1"/>
    <s v="Campaign 129"/>
    <n v="72"/>
    <n v="29"/>
    <n v="932"/>
    <n v="0.4"/>
    <n v="1450"/>
    <n v="12.944444444444445"/>
    <n v="32.137931034482762"/>
    <n v="0.55579399141630903"/>
  </r>
  <r>
    <d v="2024-02-09T00:00:00"/>
    <x v="1"/>
    <s v="Campaign 130"/>
    <n v="71"/>
    <n v="38"/>
    <n v="932"/>
    <n v="0.54"/>
    <n v="1900"/>
    <n v="13.126760563380282"/>
    <n v="24.526315789473685"/>
    <n v="1.03862660944206"/>
  </r>
  <r>
    <d v="2024-02-10T00:00:00"/>
    <x v="1"/>
    <s v="Campaign 131"/>
    <n v="77"/>
    <n v="21"/>
    <n v="1274"/>
    <n v="0.27"/>
    <n v="1050"/>
    <n v="16.545454545454547"/>
    <n v="60.666666666666664"/>
    <n v="-0.17582417582417584"/>
  </r>
  <r>
    <d v="2024-02-11T00:00:00"/>
    <x v="1"/>
    <s v="Campaign 132"/>
    <n v="126"/>
    <n v="37"/>
    <n v="536"/>
    <n v="0.28999999999999998"/>
    <n v="1850"/>
    <n v="4.253968253968254"/>
    <n v="14.486486486486486"/>
    <n v="2.4514925373134329"/>
  </r>
  <r>
    <d v="2024-02-12T00:00:00"/>
    <x v="1"/>
    <s v="Campaign 133"/>
    <n v="24"/>
    <n v="40"/>
    <n v="800"/>
    <n v="1.67"/>
    <n v="2000"/>
    <n v="33.333333333333336"/>
    <n v="20"/>
    <n v="1.5"/>
  </r>
  <r>
    <d v="2024-02-13T00:00:00"/>
    <x v="1"/>
    <s v="Campaign 134"/>
    <n v="50"/>
    <n v="35"/>
    <n v="1560"/>
    <n v="0.7"/>
    <n v="1750"/>
    <n v="31.2"/>
    <n v="44.571428571428569"/>
    <n v="0.12179487179487179"/>
  </r>
  <r>
    <d v="2024-02-14T00:00:00"/>
    <x v="1"/>
    <s v="Campaign 135"/>
    <n v="70"/>
    <n v="33"/>
    <n v="874"/>
    <n v="0.47"/>
    <n v="1650"/>
    <n v="12.485714285714286"/>
    <n v="26.484848484848484"/>
    <n v="0.88787185354691078"/>
  </r>
  <r>
    <d v="2024-02-15T00:00:00"/>
    <x v="1"/>
    <s v="Campaign 136"/>
    <n v="67"/>
    <n v="27"/>
    <n v="1265"/>
    <n v="0.4"/>
    <n v="1350"/>
    <n v="18.880597014925375"/>
    <n v="46.851851851851855"/>
    <n v="6.7193675889328064E-2"/>
  </r>
  <r>
    <d v="2024-02-16T00:00:00"/>
    <x v="1"/>
    <s v="Campaign 137"/>
    <n v="66"/>
    <n v="17"/>
    <n v="1691"/>
    <n v="0.26"/>
    <n v="850"/>
    <n v="25.621212121212121"/>
    <n v="99.470588235294116"/>
    <n v="-0.49733885274985218"/>
  </r>
  <r>
    <d v="2024-02-17T00:00:00"/>
    <x v="1"/>
    <s v="Campaign 138"/>
    <n v="79"/>
    <n v="10"/>
    <n v="1808"/>
    <n v="0.13"/>
    <n v="500"/>
    <n v="22.88607594936709"/>
    <n v="180.8"/>
    <n v="-0.72345132743362828"/>
  </r>
  <r>
    <d v="2024-02-18T00:00:00"/>
    <x v="1"/>
    <s v="Campaign 139"/>
    <n v="134"/>
    <n v="41"/>
    <n v="1346"/>
    <n v="0.31"/>
    <n v="2050"/>
    <n v="10.044776119402986"/>
    <n v="32.829268292682926"/>
    <n v="0.52303120356612187"/>
  </r>
  <r>
    <d v="2024-02-19T00:00:00"/>
    <x v="1"/>
    <s v="Campaign 140"/>
    <n v="65"/>
    <n v="15"/>
    <n v="1626"/>
    <n v="0.23"/>
    <n v="750"/>
    <n v="25.015384615384615"/>
    <n v="108.4"/>
    <n v="-0.53874538745387457"/>
  </r>
  <r>
    <d v="2024-02-20T00:00:00"/>
    <x v="1"/>
    <s v="Campaign 141"/>
    <n v="134"/>
    <n v="8"/>
    <n v="1767"/>
    <n v="0.06"/>
    <n v="400"/>
    <n v="13.186567164179104"/>
    <n v="220.875"/>
    <n v="-0.77362761743067343"/>
  </r>
  <r>
    <d v="2024-02-21T00:00:00"/>
    <x v="1"/>
    <s v="Campaign 142"/>
    <n v="62"/>
    <n v="11"/>
    <n v="957"/>
    <n v="0.18"/>
    <n v="550"/>
    <n v="15.435483870967742"/>
    <n v="87"/>
    <n v="-0.42528735632183906"/>
  </r>
  <r>
    <d v="2024-02-22T00:00:00"/>
    <x v="1"/>
    <s v="Campaign 143"/>
    <n v="57"/>
    <n v="10"/>
    <n v="418"/>
    <n v="0.18"/>
    <n v="500"/>
    <n v="7.333333333333333"/>
    <n v="41.8"/>
    <n v="0.19617224880382775"/>
  </r>
  <r>
    <d v="2024-02-23T00:00:00"/>
    <x v="1"/>
    <s v="Campaign 144"/>
    <n v="129"/>
    <n v="10"/>
    <n v="1292"/>
    <n v="0.08"/>
    <n v="500"/>
    <n v="10.015503875968992"/>
    <n v="129.19999999999999"/>
    <n v="-0.61300309597523217"/>
  </r>
  <r>
    <d v="2024-02-24T00:00:00"/>
    <x v="1"/>
    <s v="Campaign 145"/>
    <n v="89"/>
    <n v="46"/>
    <n v="718"/>
    <n v="0.52"/>
    <n v="2300"/>
    <n v="8.0674157303370784"/>
    <n v="15.608695652173912"/>
    <n v="2.2033426183844012"/>
  </r>
  <r>
    <d v="2024-02-25T00:00:00"/>
    <x v="1"/>
    <s v="Campaign 146"/>
    <n v="76"/>
    <n v="16"/>
    <n v="1752"/>
    <n v="0.21"/>
    <n v="800"/>
    <n v="23.05263157894737"/>
    <n v="109.5"/>
    <n v="-0.54337899543378998"/>
  </r>
  <r>
    <d v="2024-02-26T00:00:00"/>
    <x v="1"/>
    <s v="Campaign 147"/>
    <n v="49"/>
    <n v="5"/>
    <n v="1481"/>
    <n v="0.1"/>
    <n v="250"/>
    <n v="30.224489795918366"/>
    <n v="296.2"/>
    <n v="-0.83119513841998649"/>
  </r>
  <r>
    <d v="2024-02-27T00:00:00"/>
    <x v="1"/>
    <s v="Campaign 148"/>
    <n v="112"/>
    <n v="38"/>
    <n v="837"/>
    <n v="0.34"/>
    <n v="1900"/>
    <n v="7.4732142857142856"/>
    <n v="22.026315789473685"/>
    <n v="1.2700119474313023"/>
  </r>
  <r>
    <d v="2024-02-28T00:00:00"/>
    <x v="1"/>
    <s v="Campaign 149"/>
    <n v="127"/>
    <n v="45"/>
    <n v="119"/>
    <n v="0.35"/>
    <n v="2250"/>
    <n v="0.93700787401574803"/>
    <n v="2.6444444444444444"/>
    <n v="17.907563025210084"/>
  </r>
  <r>
    <d v="2024-02-29T00:00:00"/>
    <x v="1"/>
    <s v="Campaign 150"/>
    <n v="59"/>
    <n v="44"/>
    <n v="456"/>
    <n v="0.75"/>
    <n v="2200"/>
    <n v="7.7288135593220337"/>
    <n v="10.363636363636363"/>
    <n v="3.8245614035087718"/>
  </r>
  <r>
    <d v="2024-03-01T00:00:00"/>
    <x v="1"/>
    <s v="Campaign 151"/>
    <n v="131"/>
    <n v="33"/>
    <n v="1595"/>
    <n v="0.25"/>
    <n v="1650"/>
    <n v="12.175572519083969"/>
    <n v="48.333333333333336"/>
    <n v="3.4482758620689655E-2"/>
  </r>
  <r>
    <d v="2024-03-02T00:00:00"/>
    <x v="1"/>
    <s v="Campaign 152"/>
    <n v="96"/>
    <n v="36"/>
    <n v="1158"/>
    <n v="0.38"/>
    <n v="1800"/>
    <n v="12.0625"/>
    <n v="32.166666666666664"/>
    <n v="0.55440414507772018"/>
  </r>
  <r>
    <d v="2024-03-03T00:00:00"/>
    <x v="1"/>
    <s v="Campaign 153"/>
    <n v="43"/>
    <n v="28"/>
    <n v="1392"/>
    <n v="0.65"/>
    <n v="1400"/>
    <n v="32.372093023255815"/>
    <n v="49.714285714285715"/>
    <n v="5.7471264367816091E-3"/>
  </r>
  <r>
    <d v="2024-03-04T00:00:00"/>
    <x v="1"/>
    <s v="Campaign 154"/>
    <n v="38"/>
    <n v="25"/>
    <n v="508"/>
    <n v="0.66"/>
    <n v="1250"/>
    <n v="13.368421052631579"/>
    <n v="20.32"/>
    <n v="1.4606299212598426"/>
  </r>
  <r>
    <d v="2024-03-05T00:00:00"/>
    <x v="1"/>
    <s v="Campaign 155"/>
    <n v="107"/>
    <n v="14"/>
    <n v="666"/>
    <n v="0.13"/>
    <n v="700"/>
    <n v="6.2242990654205608"/>
    <n v="47.571428571428569"/>
    <n v="5.1051051051051052E-2"/>
  </r>
  <r>
    <d v="2024-03-06T00:00:00"/>
    <x v="1"/>
    <s v="Campaign 156"/>
    <n v="54"/>
    <n v="30"/>
    <n v="999"/>
    <n v="0.56000000000000005"/>
    <n v="1500"/>
    <n v="18.5"/>
    <n v="33.299999999999997"/>
    <n v="0.50150150150150152"/>
  </r>
  <r>
    <d v="2024-03-07T00:00:00"/>
    <x v="1"/>
    <s v="Campaign 157"/>
    <n v="50"/>
    <n v="44"/>
    <n v="800"/>
    <n v="0.88"/>
    <n v="2200"/>
    <n v="16"/>
    <n v="18.181818181818183"/>
    <n v="1.75"/>
  </r>
  <r>
    <d v="2024-03-08T00:00:00"/>
    <x v="1"/>
    <s v="Campaign 158"/>
    <n v="111"/>
    <n v="20"/>
    <n v="341"/>
    <n v="0.18"/>
    <n v="1000"/>
    <n v="3.0720720720720722"/>
    <n v="17.05"/>
    <n v="1.9325513196480939"/>
  </r>
  <r>
    <d v="2024-03-09T00:00:00"/>
    <x v="1"/>
    <s v="Campaign 159"/>
    <n v="26"/>
    <n v="34"/>
    <n v="286"/>
    <n v="1.31"/>
    <n v="1700"/>
    <n v="11"/>
    <n v="8.4117647058823533"/>
    <n v="4.9440559440559442"/>
  </r>
  <r>
    <d v="2024-03-10T00:00:00"/>
    <x v="1"/>
    <s v="Campaign 160"/>
    <n v="133"/>
    <n v="26"/>
    <n v="1592"/>
    <n v="0.2"/>
    <n v="1300"/>
    <n v="11.969924812030076"/>
    <n v="61.230769230769234"/>
    <n v="-0.18341708542713567"/>
  </r>
  <r>
    <d v="2024-03-11T00:00:00"/>
    <x v="1"/>
    <s v="Campaign 161"/>
    <n v="122"/>
    <n v="48"/>
    <n v="616"/>
    <n v="0.39"/>
    <n v="2400"/>
    <n v="5.0491803278688527"/>
    <n v="12.833333333333334"/>
    <n v="2.8961038961038961"/>
  </r>
  <r>
    <d v="2024-03-12T00:00:00"/>
    <x v="1"/>
    <s v="Campaign 162"/>
    <n v="88"/>
    <n v="17"/>
    <n v="962"/>
    <n v="0.19"/>
    <n v="850"/>
    <n v="10.931818181818182"/>
    <n v="56.588235294117645"/>
    <n v="-0.11642411642411643"/>
  </r>
  <r>
    <d v="2024-03-13T00:00:00"/>
    <x v="1"/>
    <s v="Campaign 163"/>
    <n v="84"/>
    <n v="24"/>
    <n v="1669"/>
    <n v="0.28999999999999998"/>
    <n v="1200"/>
    <n v="19.86904761904762"/>
    <n v="69.541666666666671"/>
    <n v="-0.2810065907729179"/>
  </r>
  <r>
    <d v="2024-03-14T00:00:00"/>
    <x v="1"/>
    <s v="Campaign 164"/>
    <n v="116"/>
    <n v="14"/>
    <n v="105"/>
    <n v="0.12"/>
    <n v="700"/>
    <n v="0.90517241379310343"/>
    <n v="7.5"/>
    <n v="5.666666666666667"/>
  </r>
  <r>
    <d v="2024-03-15T00:00:00"/>
    <x v="1"/>
    <s v="Campaign 165"/>
    <n v="120"/>
    <n v="8"/>
    <n v="315"/>
    <n v="7.0000000000000007E-2"/>
    <n v="400"/>
    <n v="2.625"/>
    <n v="39.375"/>
    <n v="0.26984126984126983"/>
  </r>
  <r>
    <d v="2024-03-16T00:00:00"/>
    <x v="1"/>
    <s v="Campaign 166"/>
    <n v="109"/>
    <n v="29"/>
    <n v="1940"/>
    <n v="0.27"/>
    <n v="1450"/>
    <n v="17.798165137614678"/>
    <n v="66.896551724137936"/>
    <n v="-0.25257731958762886"/>
  </r>
  <r>
    <d v="2024-03-17T00:00:00"/>
    <x v="1"/>
    <s v="Campaign 167"/>
    <n v="125"/>
    <n v="37"/>
    <n v="647"/>
    <n v="0.3"/>
    <n v="1850"/>
    <n v="5.1760000000000002"/>
    <n v="17.486486486486488"/>
    <n v="1.8593508500772797"/>
  </r>
  <r>
    <d v="2024-03-18T00:00:00"/>
    <x v="1"/>
    <s v="Campaign 168"/>
    <n v="129"/>
    <n v="41"/>
    <n v="625"/>
    <n v="0.32"/>
    <n v="2050"/>
    <n v="4.8449612403100772"/>
    <n v="15.24390243902439"/>
    <n v="2.2799999999999998"/>
  </r>
  <r>
    <d v="2024-03-19T00:00:00"/>
    <x v="1"/>
    <s v="Campaign 169"/>
    <n v="139"/>
    <n v="12"/>
    <n v="1510"/>
    <n v="0.09"/>
    <n v="600"/>
    <n v="10.863309352517986"/>
    <n v="125.83333333333333"/>
    <n v="-0.60264900662251653"/>
  </r>
  <r>
    <d v="2024-03-20T00:00:00"/>
    <x v="1"/>
    <s v="Campaign 170"/>
    <n v="127"/>
    <n v="35"/>
    <n v="633"/>
    <n v="0.28000000000000003"/>
    <n v="1750"/>
    <n v="4.984251968503937"/>
    <n v="18.085714285714285"/>
    <n v="1.764612954186414"/>
  </r>
  <r>
    <d v="2024-03-21T00:00:00"/>
    <x v="1"/>
    <s v="Campaign 171"/>
    <n v="105"/>
    <n v="42"/>
    <n v="1717"/>
    <n v="0.4"/>
    <n v="2100"/>
    <n v="16.352380952380951"/>
    <n v="40.88095238095238"/>
    <n v="0.22306348281887012"/>
  </r>
  <r>
    <d v="2024-03-22T00:00:00"/>
    <x v="1"/>
    <s v="Campaign 172"/>
    <n v="49"/>
    <n v="12"/>
    <n v="1030"/>
    <n v="0.24"/>
    <n v="600"/>
    <n v="21.020408163265305"/>
    <n v="85.833333333333329"/>
    <n v="-0.41747572815533979"/>
  </r>
  <r>
    <d v="2024-03-23T00:00:00"/>
    <x v="1"/>
    <s v="Campaign 173"/>
    <n v="105"/>
    <n v="22"/>
    <n v="1220"/>
    <n v="0.21"/>
    <n v="1100"/>
    <n v="11.619047619047619"/>
    <n v="55.454545454545453"/>
    <n v="-9.8360655737704916E-2"/>
  </r>
  <r>
    <d v="2024-03-24T00:00:00"/>
    <x v="1"/>
    <s v="Campaign 174"/>
    <n v="96"/>
    <n v="33"/>
    <n v="705"/>
    <n v="0.34"/>
    <n v="1650"/>
    <n v="7.34375"/>
    <n v="21.363636363636363"/>
    <n v="1.3404255319148937"/>
  </r>
  <r>
    <d v="2024-03-25T00:00:00"/>
    <x v="1"/>
    <s v="Campaign 175"/>
    <n v="98"/>
    <n v="32"/>
    <n v="1255"/>
    <n v="0.33"/>
    <n v="1600"/>
    <n v="12.806122448979592"/>
    <n v="39.21875"/>
    <n v="0.27490039840637448"/>
  </r>
  <r>
    <d v="2024-03-26T00:00:00"/>
    <x v="1"/>
    <s v="Campaign 176"/>
    <n v="25"/>
    <n v="49"/>
    <n v="590"/>
    <n v="1.96"/>
    <n v="2450"/>
    <n v="23.6"/>
    <n v="12.040816326530612"/>
    <n v="3.152542372881356"/>
  </r>
  <r>
    <d v="2024-03-27T00:00:00"/>
    <x v="1"/>
    <s v="Campaign 177"/>
    <n v="117"/>
    <n v="47"/>
    <n v="1148"/>
    <n v="0.4"/>
    <n v="2350"/>
    <n v="9.8119658119658126"/>
    <n v="24.425531914893618"/>
    <n v="1.0470383275261324"/>
  </r>
  <r>
    <d v="2024-03-28T00:00:00"/>
    <x v="1"/>
    <s v="Campaign 178"/>
    <n v="96"/>
    <n v="46"/>
    <n v="1905"/>
    <n v="0.48"/>
    <n v="2300"/>
    <n v="19.84375"/>
    <n v="41.413043478260867"/>
    <n v="0.20734908136482941"/>
  </r>
  <r>
    <d v="2024-03-29T00:00:00"/>
    <x v="1"/>
    <s v="Campaign 179"/>
    <n v="99"/>
    <n v="13"/>
    <n v="527"/>
    <n v="0.13"/>
    <n v="650"/>
    <n v="5.3232323232323235"/>
    <n v="40.53846153846154"/>
    <n v="0.23339658444022771"/>
  </r>
  <r>
    <d v="2024-03-30T00:00:00"/>
    <x v="1"/>
    <s v="Campaign 180"/>
    <n v="132"/>
    <n v="15"/>
    <n v="713"/>
    <n v="0.11"/>
    <n v="750"/>
    <n v="5.4015151515151514"/>
    <n v="47.533333333333331"/>
    <n v="5.1893408134642355E-2"/>
  </r>
  <r>
    <d v="2024-01-01T00:00:00"/>
    <x v="2"/>
    <s v="Campaign 181"/>
    <n v="141"/>
    <n v="34"/>
    <n v="1666"/>
    <n v="0.24"/>
    <n v="1700"/>
    <n v="11.815602836879433"/>
    <n v="49"/>
    <n v="2.0408163265306121E-2"/>
  </r>
  <r>
    <d v="2024-01-02T00:00:00"/>
    <x v="2"/>
    <s v="Campaign 182"/>
    <n v="73"/>
    <n v="25"/>
    <n v="131"/>
    <n v="0.34"/>
    <n v="1250"/>
    <n v="1.7945205479452055"/>
    <n v="5.24"/>
    <n v="8.5419847328244281"/>
  </r>
  <r>
    <d v="2024-01-03T00:00:00"/>
    <x v="2"/>
    <s v="Campaign 183"/>
    <n v="56"/>
    <n v="33"/>
    <n v="229"/>
    <n v="0.59"/>
    <n v="1650"/>
    <n v="4.0892857142857144"/>
    <n v="6.9393939393939394"/>
    <n v="6.2052401746724888"/>
  </r>
  <r>
    <d v="2024-01-04T00:00:00"/>
    <x v="2"/>
    <s v="Campaign 184"/>
    <n v="149"/>
    <n v="6"/>
    <n v="358"/>
    <n v="0.04"/>
    <n v="300"/>
    <n v="2.4026845637583891"/>
    <n v="59.666666666666664"/>
    <n v="-0.16201117318435754"/>
  </r>
  <r>
    <d v="2024-01-05T00:00:00"/>
    <x v="2"/>
    <s v="Campaign 185"/>
    <n v="32"/>
    <n v="32"/>
    <n v="300"/>
    <n v="1"/>
    <n v="1600"/>
    <n v="9.375"/>
    <n v="9.375"/>
    <n v="4.333333333333333"/>
  </r>
  <r>
    <d v="2024-01-06T00:00:00"/>
    <x v="2"/>
    <s v="Campaign 186"/>
    <n v="147"/>
    <n v="17"/>
    <n v="161"/>
    <n v="0.12"/>
    <n v="850"/>
    <n v="1.0952380952380953"/>
    <n v="9.4705882352941178"/>
    <n v="4.2795031055900621"/>
  </r>
  <r>
    <d v="2024-01-07T00:00:00"/>
    <x v="2"/>
    <s v="Campaign 187"/>
    <n v="139"/>
    <n v="9"/>
    <n v="565"/>
    <n v="0.06"/>
    <n v="450"/>
    <n v="4.0647482014388485"/>
    <n v="62.777777777777779"/>
    <n v="-0.20353982300884957"/>
  </r>
  <r>
    <d v="2024-01-08T00:00:00"/>
    <x v="2"/>
    <s v="Campaign 188"/>
    <n v="145"/>
    <n v="40"/>
    <n v="271"/>
    <n v="0.28000000000000003"/>
    <n v="2000"/>
    <n v="1.8689655172413793"/>
    <n v="6.7750000000000004"/>
    <n v="6.3800738007380078"/>
  </r>
  <r>
    <d v="2024-01-09T00:00:00"/>
    <x v="2"/>
    <s v="Campaign 189"/>
    <n v="88"/>
    <n v="41"/>
    <n v="748"/>
    <n v="0.47"/>
    <n v="2050"/>
    <n v="8.5"/>
    <n v="18.243902439024389"/>
    <n v="1.7406417112299466"/>
  </r>
  <r>
    <d v="2024-01-10T00:00:00"/>
    <x v="2"/>
    <s v="Campaign 190"/>
    <n v="99"/>
    <n v="25"/>
    <n v="1391"/>
    <n v="0.25"/>
    <n v="1250"/>
    <n v="14.05050505050505"/>
    <n v="55.64"/>
    <n v="-0.10136592379583034"/>
  </r>
  <r>
    <d v="2024-01-11T00:00:00"/>
    <x v="2"/>
    <s v="Campaign 191"/>
    <n v="55"/>
    <n v="14"/>
    <n v="923"/>
    <n v="0.25"/>
    <n v="700"/>
    <n v="16.781818181818181"/>
    <n v="65.928571428571431"/>
    <n v="-0.24160346695557963"/>
  </r>
  <r>
    <d v="2024-01-12T00:00:00"/>
    <x v="2"/>
    <s v="Campaign 192"/>
    <n v="79"/>
    <n v="41"/>
    <n v="1138"/>
    <n v="0.52"/>
    <n v="2050"/>
    <n v="14.405063291139241"/>
    <n v="27.756097560975611"/>
    <n v="0.80140597539543057"/>
  </r>
  <r>
    <d v="2024-01-13T00:00:00"/>
    <x v="2"/>
    <s v="Campaign 193"/>
    <n v="108"/>
    <n v="31"/>
    <n v="1579"/>
    <n v="0.28999999999999998"/>
    <n v="1550"/>
    <n v="14.62037037037037"/>
    <n v="50.935483870967744"/>
    <n v="-1.8366054464851171E-2"/>
  </r>
  <r>
    <d v="2024-01-14T00:00:00"/>
    <x v="2"/>
    <s v="Campaign 194"/>
    <n v="58"/>
    <n v="26"/>
    <n v="429"/>
    <n v="0.45"/>
    <n v="1300"/>
    <n v="7.3965517241379306"/>
    <n v="16.5"/>
    <n v="2.0303030303030303"/>
  </r>
  <r>
    <d v="2024-01-15T00:00:00"/>
    <x v="2"/>
    <s v="Campaign 195"/>
    <n v="32"/>
    <n v="26"/>
    <n v="119"/>
    <n v="0.81"/>
    <n v="1300"/>
    <n v="3.71875"/>
    <n v="4.5769230769230766"/>
    <n v="9.9243697478991599"/>
  </r>
  <r>
    <d v="2024-01-16T00:00:00"/>
    <x v="2"/>
    <s v="Campaign 196"/>
    <n v="64"/>
    <n v="6"/>
    <n v="1220"/>
    <n v="0.09"/>
    <n v="300"/>
    <n v="19.0625"/>
    <n v="203.33333333333334"/>
    <n v="-0.75409836065573765"/>
  </r>
  <r>
    <d v="2024-01-17T00:00:00"/>
    <x v="2"/>
    <s v="Campaign 197"/>
    <n v="89"/>
    <n v="38"/>
    <n v="1153"/>
    <n v="0.43"/>
    <n v="1900"/>
    <n v="12.955056179775282"/>
    <n v="30.342105263157894"/>
    <n v="0.64787510841283613"/>
  </r>
  <r>
    <d v="2024-01-18T00:00:00"/>
    <x v="2"/>
    <s v="Campaign 198"/>
    <n v="27"/>
    <n v="26"/>
    <n v="806"/>
    <n v="0.96"/>
    <n v="1300"/>
    <n v="29.851851851851851"/>
    <n v="31"/>
    <n v="0.61290322580645162"/>
  </r>
  <r>
    <d v="2024-01-19T00:00:00"/>
    <x v="2"/>
    <s v="Campaign 199"/>
    <n v="62"/>
    <n v="8"/>
    <n v="1282"/>
    <n v="0.13"/>
    <n v="400"/>
    <n v="20.677419354838708"/>
    <n v="160.25"/>
    <n v="-0.68798751950078008"/>
  </r>
  <r>
    <d v="2024-01-20T00:00:00"/>
    <x v="2"/>
    <s v="Campaign 200"/>
    <n v="33"/>
    <n v="27"/>
    <n v="282"/>
    <n v="0.82"/>
    <n v="1350"/>
    <n v="8.545454545454545"/>
    <n v="10.444444444444445"/>
    <n v="3.7872340425531914"/>
  </r>
  <r>
    <d v="2024-01-21T00:00:00"/>
    <x v="2"/>
    <s v="Campaign 201"/>
    <n v="133"/>
    <n v="21"/>
    <n v="1824"/>
    <n v="0.16"/>
    <n v="1050"/>
    <n v="13.714285714285714"/>
    <n v="86.857142857142861"/>
    <n v="-0.42434210526315791"/>
  </r>
  <r>
    <d v="2024-01-22T00:00:00"/>
    <x v="2"/>
    <s v="Campaign 202"/>
    <n v="148"/>
    <n v="16"/>
    <n v="398"/>
    <n v="0.11"/>
    <n v="800"/>
    <n v="2.689189189189189"/>
    <n v="24.875"/>
    <n v="1.0100502512562815"/>
  </r>
  <r>
    <d v="2024-01-23T00:00:00"/>
    <x v="2"/>
    <s v="Campaign 203"/>
    <n v="21"/>
    <n v="13"/>
    <n v="1732"/>
    <n v="0.62"/>
    <n v="650"/>
    <n v="82.476190476190482"/>
    <n v="133.23076923076923"/>
    <n v="-0.62471131639722866"/>
  </r>
  <r>
    <d v="2024-01-24T00:00:00"/>
    <x v="2"/>
    <s v="Campaign 204"/>
    <n v="32"/>
    <n v="48"/>
    <n v="1161"/>
    <n v="1.5"/>
    <n v="2400"/>
    <n v="36.28125"/>
    <n v="24.1875"/>
    <n v="1.0671834625322998"/>
  </r>
  <r>
    <d v="2024-01-25T00:00:00"/>
    <x v="2"/>
    <s v="Campaign 205"/>
    <n v="106"/>
    <n v="43"/>
    <n v="163"/>
    <n v="0.41"/>
    <n v="2150"/>
    <n v="1.5377358490566038"/>
    <n v="3.7906976744186047"/>
    <n v="12.190184049079754"/>
  </r>
  <r>
    <d v="2024-01-26T00:00:00"/>
    <x v="2"/>
    <s v="Campaign 206"/>
    <n v="87"/>
    <n v="6"/>
    <n v="202"/>
    <n v="7.0000000000000007E-2"/>
    <n v="300"/>
    <n v="2.3218390804597702"/>
    <n v="33.666666666666664"/>
    <n v="0.48514851485148514"/>
  </r>
  <r>
    <d v="2024-01-27T00:00:00"/>
    <x v="2"/>
    <s v="Campaign 207"/>
    <n v="104"/>
    <n v="8"/>
    <n v="1176"/>
    <n v="0.08"/>
    <n v="400"/>
    <n v="11.307692307692308"/>
    <n v="147"/>
    <n v="-0.65986394557823125"/>
  </r>
  <r>
    <d v="2024-01-28T00:00:00"/>
    <x v="2"/>
    <s v="Campaign 208"/>
    <n v="40"/>
    <n v="28"/>
    <n v="1823"/>
    <n v="0.7"/>
    <n v="1400"/>
    <n v="45.575000000000003"/>
    <n v="65.107142857142861"/>
    <n v="-0.23203510696653867"/>
  </r>
  <r>
    <d v="2024-01-29T00:00:00"/>
    <x v="2"/>
    <s v="Campaign 209"/>
    <n v="124"/>
    <n v="19"/>
    <n v="1082"/>
    <n v="0.15"/>
    <n v="950"/>
    <n v="8.7258064516129039"/>
    <n v="56.94736842105263"/>
    <n v="-0.12199630314232902"/>
  </r>
  <r>
    <d v="2024-01-30T00:00:00"/>
    <x v="2"/>
    <s v="Campaign 210"/>
    <n v="116"/>
    <n v="42"/>
    <n v="589"/>
    <n v="0.36"/>
    <n v="2100"/>
    <n v="5.0775862068965516"/>
    <n v="14.023809523809524"/>
    <n v="2.5653650254668929"/>
  </r>
  <r>
    <d v="2024-01-31T00:00:00"/>
    <x v="2"/>
    <s v="Campaign 211"/>
    <n v="129"/>
    <n v="23"/>
    <n v="1819"/>
    <n v="0.18"/>
    <n v="1150"/>
    <n v="14.10077519379845"/>
    <n v="79.086956521739125"/>
    <n v="-0.36778449697636062"/>
  </r>
  <r>
    <d v="2024-02-01T00:00:00"/>
    <x v="2"/>
    <s v="Campaign 212"/>
    <n v="94"/>
    <n v="6"/>
    <n v="656"/>
    <n v="0.06"/>
    <n v="300"/>
    <n v="6.9787234042553195"/>
    <n v="109.33333333333333"/>
    <n v="-0.54268292682926833"/>
  </r>
  <r>
    <d v="2024-02-02T00:00:00"/>
    <x v="2"/>
    <s v="Campaign 213"/>
    <n v="73"/>
    <n v="33"/>
    <n v="444"/>
    <n v="0.45"/>
    <n v="1650"/>
    <n v="6.0821917808219181"/>
    <n v="13.454545454545455"/>
    <n v="2.7162162162162162"/>
  </r>
  <r>
    <d v="2024-02-03T00:00:00"/>
    <x v="2"/>
    <s v="Campaign 214"/>
    <n v="85"/>
    <n v="28"/>
    <n v="210"/>
    <n v="0.33"/>
    <n v="1400"/>
    <n v="2.4705882352941178"/>
    <n v="7.5"/>
    <n v="5.666666666666667"/>
  </r>
  <r>
    <d v="2024-02-04T00:00:00"/>
    <x v="2"/>
    <s v="Campaign 215"/>
    <n v="66"/>
    <n v="22"/>
    <n v="841"/>
    <n v="0.33"/>
    <n v="1100"/>
    <n v="12.742424242424242"/>
    <n v="38.227272727272727"/>
    <n v="0.30796670630202139"/>
  </r>
  <r>
    <d v="2024-02-05T00:00:00"/>
    <x v="2"/>
    <s v="Campaign 216"/>
    <n v="100"/>
    <n v="39"/>
    <n v="1641"/>
    <n v="0.39"/>
    <n v="1950"/>
    <n v="16.41"/>
    <n v="42.07692307692308"/>
    <n v="0.1882998171846435"/>
  </r>
  <r>
    <d v="2024-02-06T00:00:00"/>
    <x v="2"/>
    <s v="Campaign 217"/>
    <n v="41"/>
    <n v="29"/>
    <n v="1672"/>
    <n v="0.71"/>
    <n v="1450"/>
    <n v="40.780487804878049"/>
    <n v="57.655172413793103"/>
    <n v="-0.13277511961722488"/>
  </r>
  <r>
    <d v="2024-02-07T00:00:00"/>
    <x v="2"/>
    <s v="Campaign 218"/>
    <n v="91"/>
    <n v="13"/>
    <n v="1626"/>
    <n v="0.14000000000000001"/>
    <n v="650"/>
    <n v="17.868131868131869"/>
    <n v="125.07692307692308"/>
    <n v="-0.60024600246002457"/>
  </r>
  <r>
    <d v="2024-02-08T00:00:00"/>
    <x v="2"/>
    <s v="Campaign 219"/>
    <n v="74"/>
    <n v="22"/>
    <n v="1135"/>
    <n v="0.3"/>
    <n v="1100"/>
    <n v="15.337837837837839"/>
    <n v="51.590909090909093"/>
    <n v="-3.0837004405286344E-2"/>
  </r>
  <r>
    <d v="2024-02-09T00:00:00"/>
    <x v="2"/>
    <s v="Campaign 220"/>
    <n v="48"/>
    <n v="21"/>
    <n v="1312"/>
    <n v="0.44"/>
    <n v="1050"/>
    <n v="27.333333333333332"/>
    <n v="62.476190476190474"/>
    <n v="-0.19969512195121952"/>
  </r>
  <r>
    <d v="2024-02-10T00:00:00"/>
    <x v="2"/>
    <s v="Campaign 221"/>
    <n v="43"/>
    <n v="24"/>
    <n v="1129"/>
    <n v="0.56000000000000005"/>
    <n v="1200"/>
    <n v="26.255813953488371"/>
    <n v="47.041666666666664"/>
    <n v="6.2887511071744909E-2"/>
  </r>
  <r>
    <d v="2024-02-11T00:00:00"/>
    <x v="2"/>
    <s v="Campaign 222"/>
    <n v="74"/>
    <n v="37"/>
    <n v="1471"/>
    <n v="0.5"/>
    <n v="1850"/>
    <n v="19.878378378378379"/>
    <n v="39.756756756756758"/>
    <n v="0.25764785859959211"/>
  </r>
  <r>
    <d v="2024-02-12T00:00:00"/>
    <x v="2"/>
    <s v="Campaign 223"/>
    <n v="41"/>
    <n v="14"/>
    <n v="570"/>
    <n v="0.34"/>
    <n v="700"/>
    <n v="13.902439024390244"/>
    <n v="40.714285714285715"/>
    <n v="0.22807017543859648"/>
  </r>
  <r>
    <d v="2024-02-13T00:00:00"/>
    <x v="2"/>
    <s v="Campaign 224"/>
    <n v="42"/>
    <n v="40"/>
    <n v="109"/>
    <n v="0.95"/>
    <n v="2000"/>
    <n v="2.5952380952380953"/>
    <n v="2.7250000000000001"/>
    <n v="17.348623853211009"/>
  </r>
  <r>
    <d v="2024-02-14T00:00:00"/>
    <x v="2"/>
    <s v="Campaign 225"/>
    <n v="110"/>
    <n v="24"/>
    <n v="354"/>
    <n v="0.22"/>
    <n v="1200"/>
    <n v="3.2181818181818183"/>
    <n v="14.75"/>
    <n v="2.3898305084745761"/>
  </r>
  <r>
    <d v="2024-02-15T00:00:00"/>
    <x v="2"/>
    <s v="Campaign 226"/>
    <n v="26"/>
    <n v="42"/>
    <n v="1636"/>
    <n v="1.62"/>
    <n v="2100"/>
    <n v="62.92307692307692"/>
    <n v="38.952380952380949"/>
    <n v="0.28361858190709044"/>
  </r>
  <r>
    <d v="2024-02-16T00:00:00"/>
    <x v="2"/>
    <s v="Campaign 227"/>
    <n v="39"/>
    <n v="47"/>
    <n v="636"/>
    <n v="1.21"/>
    <n v="2350"/>
    <n v="16.307692307692307"/>
    <n v="13.531914893617021"/>
    <n v="2.6949685534591197"/>
  </r>
  <r>
    <d v="2024-02-17T00:00:00"/>
    <x v="2"/>
    <s v="Campaign 228"/>
    <n v="50"/>
    <n v="13"/>
    <n v="1434"/>
    <n v="0.26"/>
    <n v="650"/>
    <n v="28.68"/>
    <n v="110.30769230769231"/>
    <n v="-0.54672245467224545"/>
  </r>
  <r>
    <d v="2024-02-18T00:00:00"/>
    <x v="2"/>
    <s v="Campaign 229"/>
    <n v="116"/>
    <n v="21"/>
    <n v="1265"/>
    <n v="0.18"/>
    <n v="1050"/>
    <n v="10.905172413793103"/>
    <n v="60.238095238095241"/>
    <n v="-0.16996047430830039"/>
  </r>
  <r>
    <d v="2024-02-19T00:00:00"/>
    <x v="2"/>
    <s v="Campaign 230"/>
    <n v="39"/>
    <n v="9"/>
    <n v="342"/>
    <n v="0.23"/>
    <n v="450"/>
    <n v="8.7692307692307701"/>
    <n v="38"/>
    <n v="0.31578947368421051"/>
  </r>
  <r>
    <d v="2024-02-20T00:00:00"/>
    <x v="2"/>
    <s v="Campaign 231"/>
    <n v="48"/>
    <n v="15"/>
    <n v="1091"/>
    <n v="0.31"/>
    <n v="750"/>
    <n v="22.729166666666668"/>
    <n v="72.733333333333334"/>
    <n v="-0.31255728689275891"/>
  </r>
  <r>
    <d v="2024-02-21T00:00:00"/>
    <x v="2"/>
    <s v="Campaign 232"/>
    <n v="34"/>
    <n v="25"/>
    <n v="1013"/>
    <n v="0.74"/>
    <n v="1250"/>
    <n v="29.794117647058822"/>
    <n v="40.520000000000003"/>
    <n v="0.23395853899308983"/>
  </r>
  <r>
    <d v="2024-02-22T00:00:00"/>
    <x v="2"/>
    <s v="Campaign 233"/>
    <n v="118"/>
    <n v="34"/>
    <n v="506"/>
    <n v="0.28999999999999998"/>
    <n v="1700"/>
    <n v="4.2881355932203391"/>
    <n v="14.882352941176471"/>
    <n v="2.3596837944664033"/>
  </r>
  <r>
    <d v="2024-02-23T00:00:00"/>
    <x v="2"/>
    <s v="Campaign 234"/>
    <n v="67"/>
    <n v="6"/>
    <n v="770"/>
    <n v="0.09"/>
    <n v="300"/>
    <n v="11.492537313432836"/>
    <n v="128.33333333333334"/>
    <n v="-0.61038961038961037"/>
  </r>
  <r>
    <d v="2024-02-24T00:00:00"/>
    <x v="2"/>
    <s v="Campaign 235"/>
    <n v="43"/>
    <n v="31"/>
    <n v="1927"/>
    <n v="0.72"/>
    <n v="1550"/>
    <n v="44.813953488372093"/>
    <n v="62.161290322580648"/>
    <n v="-0.19564089257913855"/>
  </r>
  <r>
    <d v="2024-02-25T00:00:00"/>
    <x v="2"/>
    <s v="Campaign 236"/>
    <n v="72"/>
    <n v="37"/>
    <n v="1448"/>
    <n v="0.51"/>
    <n v="1850"/>
    <n v="20.111111111111111"/>
    <n v="39.135135135135137"/>
    <n v="0.27762430939226518"/>
  </r>
  <r>
    <d v="2024-02-26T00:00:00"/>
    <x v="2"/>
    <s v="Campaign 237"/>
    <n v="34"/>
    <n v="19"/>
    <n v="1405"/>
    <n v="0.56000000000000005"/>
    <n v="950"/>
    <n v="41.323529411764703"/>
    <n v="73.94736842105263"/>
    <n v="-0.32384341637010677"/>
  </r>
  <r>
    <d v="2024-02-27T00:00:00"/>
    <x v="2"/>
    <s v="Campaign 238"/>
    <n v="38"/>
    <n v="36"/>
    <n v="1869"/>
    <n v="0.95"/>
    <n v="1800"/>
    <n v="49.184210526315788"/>
    <n v="51.916666666666664"/>
    <n v="-3.691813804173355E-2"/>
  </r>
  <r>
    <d v="2024-02-28T00:00:00"/>
    <x v="2"/>
    <s v="Campaign 239"/>
    <n v="78"/>
    <n v="46"/>
    <n v="754"/>
    <n v="0.59"/>
    <n v="2300"/>
    <n v="9.6666666666666661"/>
    <n v="16.391304347826086"/>
    <n v="2.0503978779840848"/>
  </r>
  <r>
    <d v="2024-02-29T00:00:00"/>
    <x v="2"/>
    <s v="Campaign 240"/>
    <n v="51"/>
    <n v="28"/>
    <n v="1214"/>
    <n v="0.55000000000000004"/>
    <n v="1400"/>
    <n v="23.803921568627452"/>
    <n v="43.357142857142854"/>
    <n v="0.15321252059308071"/>
  </r>
  <r>
    <d v="2024-03-01T00:00:00"/>
    <x v="2"/>
    <s v="Campaign 241"/>
    <n v="99"/>
    <n v="21"/>
    <n v="1143"/>
    <n v="0.21"/>
    <n v="1050"/>
    <n v="11.545454545454545"/>
    <n v="54.428571428571431"/>
    <n v="-8.1364829396325458E-2"/>
  </r>
  <r>
    <d v="2024-03-02T00:00:00"/>
    <x v="2"/>
    <s v="Campaign 242"/>
    <n v="102"/>
    <n v="8"/>
    <n v="1236"/>
    <n v="0.08"/>
    <n v="400"/>
    <n v="12.117647058823529"/>
    <n v="154.5"/>
    <n v="-0.6763754045307443"/>
  </r>
  <r>
    <d v="2024-03-03T00:00:00"/>
    <x v="2"/>
    <s v="Campaign 243"/>
    <n v="46"/>
    <n v="43"/>
    <n v="1509"/>
    <n v="0.93"/>
    <n v="2150"/>
    <n v="32.804347826086953"/>
    <n v="35.093023255813954"/>
    <n v="0.42478462557985419"/>
  </r>
  <r>
    <d v="2024-03-04T00:00:00"/>
    <x v="2"/>
    <s v="Campaign 244"/>
    <n v="147"/>
    <n v="46"/>
    <n v="1243"/>
    <n v="0.31"/>
    <n v="2300"/>
    <n v="8.4557823129251695"/>
    <n v="27.021739130434781"/>
    <n v="0.85036202735317779"/>
  </r>
  <r>
    <d v="2024-03-05T00:00:00"/>
    <x v="2"/>
    <s v="Campaign 245"/>
    <n v="106"/>
    <n v="42"/>
    <n v="1444"/>
    <n v="0.4"/>
    <n v="2100"/>
    <n v="13.622641509433961"/>
    <n v="34.38095238095238"/>
    <n v="0.45429362880886426"/>
  </r>
  <r>
    <d v="2024-03-06T00:00:00"/>
    <x v="2"/>
    <s v="Campaign 246"/>
    <n v="55"/>
    <n v="30"/>
    <n v="1462"/>
    <n v="0.55000000000000004"/>
    <n v="1500"/>
    <n v="26.581818181818182"/>
    <n v="48.733333333333334"/>
    <n v="2.5991792065663474E-2"/>
  </r>
  <r>
    <d v="2024-03-07T00:00:00"/>
    <x v="2"/>
    <s v="Campaign 247"/>
    <n v="38"/>
    <n v="19"/>
    <n v="558"/>
    <n v="0.5"/>
    <n v="950"/>
    <n v="14.684210526315789"/>
    <n v="29.368421052631579"/>
    <n v="0.70250896057347667"/>
  </r>
  <r>
    <d v="2024-03-08T00:00:00"/>
    <x v="2"/>
    <s v="Campaign 248"/>
    <n v="122"/>
    <n v="39"/>
    <n v="227"/>
    <n v="0.32"/>
    <n v="1950"/>
    <n v="1.860655737704918"/>
    <n v="5.8205128205128203"/>
    <n v="7.5903083700440526"/>
  </r>
  <r>
    <d v="2024-03-09T00:00:00"/>
    <x v="2"/>
    <s v="Campaign 249"/>
    <n v="139"/>
    <n v="17"/>
    <n v="823"/>
    <n v="0.12"/>
    <n v="850"/>
    <n v="5.9208633093525176"/>
    <n v="48.411764705882355"/>
    <n v="3.2806804374240585E-2"/>
  </r>
  <r>
    <d v="2024-03-10T00:00:00"/>
    <x v="2"/>
    <s v="Campaign 250"/>
    <n v="46"/>
    <n v="42"/>
    <n v="1603"/>
    <n v="0.91"/>
    <n v="2100"/>
    <n v="34.847826086956523"/>
    <n v="38.166666666666664"/>
    <n v="0.31004366812227074"/>
  </r>
  <r>
    <d v="2024-03-11T00:00:00"/>
    <x v="2"/>
    <s v="Campaign 251"/>
    <n v="70"/>
    <n v="48"/>
    <n v="509"/>
    <n v="0.69"/>
    <n v="2400"/>
    <n v="7.2714285714285714"/>
    <n v="10.604166666666666"/>
    <n v="3.7151277013752457"/>
  </r>
  <r>
    <d v="2024-03-12T00:00:00"/>
    <x v="2"/>
    <s v="Campaign 252"/>
    <n v="101"/>
    <n v="17"/>
    <n v="808"/>
    <n v="0.17"/>
    <n v="850"/>
    <n v="8"/>
    <n v="47.529411764705884"/>
    <n v="5.1980198019801978E-2"/>
  </r>
  <r>
    <d v="2024-03-13T00:00:00"/>
    <x v="2"/>
    <s v="Campaign 253"/>
    <n v="146"/>
    <n v="18"/>
    <n v="637"/>
    <n v="0.12"/>
    <n v="900"/>
    <n v="4.3630136986301373"/>
    <n v="35.388888888888886"/>
    <n v="0.41287284144427"/>
  </r>
  <r>
    <d v="2024-03-14T00:00:00"/>
    <x v="2"/>
    <s v="Campaign 254"/>
    <n v="27"/>
    <n v="37"/>
    <n v="101"/>
    <n v="1.37"/>
    <n v="1850"/>
    <n v="3.7407407407407409"/>
    <n v="2.7297297297297298"/>
    <n v="17.316831683168317"/>
  </r>
  <r>
    <d v="2024-03-15T00:00:00"/>
    <x v="2"/>
    <s v="Campaign 255"/>
    <n v="132"/>
    <n v="17"/>
    <n v="142"/>
    <n v="0.13"/>
    <n v="850"/>
    <n v="1.0757575757575757"/>
    <n v="8.3529411764705888"/>
    <n v="4.9859154929577461"/>
  </r>
  <r>
    <d v="2024-03-16T00:00:00"/>
    <x v="2"/>
    <s v="Campaign 256"/>
    <n v="83"/>
    <n v="46"/>
    <n v="1398"/>
    <n v="0.55000000000000004"/>
    <n v="2300"/>
    <n v="16.843373493975903"/>
    <n v="30.391304347826086"/>
    <n v="0.64520743919885548"/>
  </r>
  <r>
    <d v="2024-03-17T00:00:00"/>
    <x v="2"/>
    <s v="Campaign 257"/>
    <n v="115"/>
    <n v="33"/>
    <n v="1460"/>
    <n v="0.28999999999999998"/>
    <n v="1650"/>
    <n v="12.695652173913043"/>
    <n v="44.242424242424242"/>
    <n v="0.13013698630136986"/>
  </r>
  <r>
    <d v="2024-03-18T00:00:00"/>
    <x v="2"/>
    <s v="Campaign 258"/>
    <n v="111"/>
    <n v="32"/>
    <n v="1953"/>
    <n v="0.28999999999999998"/>
    <n v="1600"/>
    <n v="17.594594594594593"/>
    <n v="61.03125"/>
    <n v="-0.18074756784434204"/>
  </r>
  <r>
    <d v="2024-03-19T00:00:00"/>
    <x v="2"/>
    <s v="Campaign 259"/>
    <n v="121"/>
    <n v="46"/>
    <n v="301"/>
    <n v="0.38"/>
    <n v="2300"/>
    <n v="2.4876033057851239"/>
    <n v="6.5434782608695654"/>
    <n v="6.6411960132890364"/>
  </r>
  <r>
    <d v="2024-03-20T00:00:00"/>
    <x v="2"/>
    <s v="Campaign 260"/>
    <n v="54"/>
    <n v="36"/>
    <n v="758"/>
    <n v="0.67"/>
    <n v="1800"/>
    <n v="14.037037037037036"/>
    <n v="21.055555555555557"/>
    <n v="1.3746701846965699"/>
  </r>
  <r>
    <d v="2024-03-21T00:00:00"/>
    <x v="2"/>
    <s v="Campaign 261"/>
    <n v="41"/>
    <n v="45"/>
    <n v="1722"/>
    <n v="1.1000000000000001"/>
    <n v="2250"/>
    <n v="42"/>
    <n v="38.266666666666666"/>
    <n v="0.30662020905923343"/>
  </r>
  <r>
    <d v="2024-03-22T00:00:00"/>
    <x v="2"/>
    <s v="Campaign 262"/>
    <n v="90"/>
    <n v="11"/>
    <n v="443"/>
    <n v="0.12"/>
    <n v="550"/>
    <n v="4.9222222222222225"/>
    <n v="40.272727272727273"/>
    <n v="0.24153498871331827"/>
  </r>
  <r>
    <d v="2024-03-23T00:00:00"/>
    <x v="2"/>
    <s v="Campaign 263"/>
    <n v="148"/>
    <n v="5"/>
    <n v="1933"/>
    <n v="0.03"/>
    <n v="250"/>
    <n v="13.060810810810811"/>
    <n v="386.6"/>
    <n v="-0.87066735644076565"/>
  </r>
  <r>
    <d v="2024-03-24T00:00:00"/>
    <x v="2"/>
    <s v="Campaign 264"/>
    <n v="127"/>
    <n v="46"/>
    <n v="1564"/>
    <n v="0.36"/>
    <n v="2300"/>
    <n v="12.314960629921259"/>
    <n v="34"/>
    <n v="0.47058823529411764"/>
  </r>
  <r>
    <d v="2024-03-25T00:00:00"/>
    <x v="2"/>
    <s v="Campaign 265"/>
    <n v="35"/>
    <n v="40"/>
    <n v="511"/>
    <n v="1.1399999999999999"/>
    <n v="2000"/>
    <n v="14.6"/>
    <n v="12.775"/>
    <n v="2.9138943248532287"/>
  </r>
  <r>
    <d v="2024-03-26T00:00:00"/>
    <x v="2"/>
    <s v="Campaign 266"/>
    <n v="77"/>
    <n v="11"/>
    <n v="153"/>
    <n v="0.14000000000000001"/>
    <n v="550"/>
    <n v="1.9870129870129871"/>
    <n v="13.909090909090908"/>
    <n v="2.5947712418300655"/>
  </r>
  <r>
    <d v="2024-03-27T00:00:00"/>
    <x v="2"/>
    <s v="Campaign 267"/>
    <n v="145"/>
    <n v="46"/>
    <n v="314"/>
    <n v="0.32"/>
    <n v="2300"/>
    <n v="2.1655172413793102"/>
    <n v="6.8260869565217392"/>
    <n v="6.3248407643312099"/>
  </r>
  <r>
    <d v="2024-03-28T00:00:00"/>
    <x v="2"/>
    <s v="Campaign 268"/>
    <n v="26"/>
    <n v="43"/>
    <n v="1715"/>
    <n v="1.65"/>
    <n v="2150"/>
    <n v="65.961538461538467"/>
    <n v="39.883720930232556"/>
    <n v="0.25364431486880468"/>
  </r>
  <r>
    <d v="2024-03-29T00:00:00"/>
    <x v="2"/>
    <s v="Campaign 269"/>
    <n v="103"/>
    <n v="47"/>
    <n v="360"/>
    <n v="0.46"/>
    <n v="2350"/>
    <n v="3.4951456310679609"/>
    <n v="7.6595744680851068"/>
    <n v="5.5277777777777777"/>
  </r>
  <r>
    <d v="2024-03-30T00:00:00"/>
    <x v="2"/>
    <s v="Campaign 270"/>
    <n v="53"/>
    <n v="34"/>
    <n v="392"/>
    <n v="0.64"/>
    <n v="1700"/>
    <n v="7.3962264150943398"/>
    <n v="11.529411764705882"/>
    <n v="3.3367346938775508"/>
  </r>
  <r>
    <d v="2024-01-01T00:00:00"/>
    <x v="3"/>
    <s v="Campaign 271"/>
    <n v="36"/>
    <n v="49"/>
    <n v="1252"/>
    <n v="1.36"/>
    <n v="2450"/>
    <n v="34.777777777777779"/>
    <n v="25.551020408163264"/>
    <n v="0.95686900958466459"/>
  </r>
  <r>
    <d v="2024-01-02T00:00:00"/>
    <x v="3"/>
    <s v="Campaign 272"/>
    <n v="110"/>
    <n v="40"/>
    <n v="1417"/>
    <n v="0.36"/>
    <n v="2000"/>
    <n v="12.881818181818181"/>
    <n v="35.424999999999997"/>
    <n v="0.41143260409315457"/>
  </r>
  <r>
    <d v="2024-01-03T00:00:00"/>
    <x v="3"/>
    <s v="Campaign 273"/>
    <n v="136"/>
    <n v="34"/>
    <n v="1091"/>
    <n v="0.25"/>
    <n v="1700"/>
    <n v="8.0220588235294112"/>
    <n v="32.088235294117645"/>
    <n v="0.55820348304307976"/>
  </r>
  <r>
    <d v="2024-01-04T00:00:00"/>
    <x v="3"/>
    <s v="Campaign 274"/>
    <n v="124"/>
    <n v="26"/>
    <n v="1075"/>
    <n v="0.21"/>
    <n v="1300"/>
    <n v="8.6693548387096779"/>
    <n v="41.346153846153847"/>
    <n v="0.20930232558139536"/>
  </r>
  <r>
    <d v="2024-01-05T00:00:00"/>
    <x v="3"/>
    <s v="Campaign 275"/>
    <n v="122"/>
    <n v="48"/>
    <n v="837"/>
    <n v="0.39"/>
    <n v="2400"/>
    <n v="6.860655737704918"/>
    <n v="17.4375"/>
    <n v="1.8673835125448028"/>
  </r>
  <r>
    <d v="2024-01-06T00:00:00"/>
    <x v="3"/>
    <s v="Campaign 276"/>
    <n v="95"/>
    <n v="47"/>
    <n v="1939"/>
    <n v="0.49"/>
    <n v="2350"/>
    <n v="20.410526315789475"/>
    <n v="41.255319148936174"/>
    <n v="0.21196493037648273"/>
  </r>
  <r>
    <d v="2024-01-07T00:00:00"/>
    <x v="3"/>
    <s v="Campaign 277"/>
    <n v="82"/>
    <n v="27"/>
    <n v="1928"/>
    <n v="0.33"/>
    <n v="1350"/>
    <n v="23.512195121951219"/>
    <n v="71.407407407407405"/>
    <n v="-0.29979253112033194"/>
  </r>
  <r>
    <d v="2024-01-08T00:00:00"/>
    <x v="3"/>
    <s v="Campaign 278"/>
    <n v="122"/>
    <n v="11"/>
    <n v="596"/>
    <n v="0.09"/>
    <n v="550"/>
    <n v="4.8852459016393439"/>
    <n v="54.18181818181818"/>
    <n v="-7.7181208053691275E-2"/>
  </r>
  <r>
    <d v="2024-01-09T00:00:00"/>
    <x v="3"/>
    <s v="Campaign 279"/>
    <n v="69"/>
    <n v="36"/>
    <n v="1740"/>
    <n v="0.52"/>
    <n v="1800"/>
    <n v="25.217391304347824"/>
    <n v="48.333333333333336"/>
    <n v="3.4482758620689655E-2"/>
  </r>
  <r>
    <d v="2024-01-10T00:00:00"/>
    <x v="3"/>
    <s v="Campaign 280"/>
    <n v="38"/>
    <n v="11"/>
    <n v="442"/>
    <n v="0.28999999999999998"/>
    <n v="550"/>
    <n v="11.631578947368421"/>
    <n v="40.18181818181818"/>
    <n v="0.24434389140271492"/>
  </r>
  <r>
    <d v="2024-01-11T00:00:00"/>
    <x v="3"/>
    <s v="Campaign 281"/>
    <n v="22"/>
    <n v="27"/>
    <n v="825"/>
    <n v="1.23"/>
    <n v="1350"/>
    <n v="37.5"/>
    <n v="30.555555555555557"/>
    <n v="0.63636363636363635"/>
  </r>
  <r>
    <d v="2024-01-12T00:00:00"/>
    <x v="3"/>
    <s v="Campaign 282"/>
    <n v="141"/>
    <n v="5"/>
    <n v="101"/>
    <n v="0.04"/>
    <n v="250"/>
    <n v="0.71631205673758869"/>
    <n v="20.2"/>
    <n v="1.4752475247524752"/>
  </r>
  <r>
    <d v="2024-01-13T00:00:00"/>
    <x v="3"/>
    <s v="Campaign 283"/>
    <n v="21"/>
    <n v="25"/>
    <n v="1640"/>
    <n v="1.19"/>
    <n v="1250"/>
    <n v="78.095238095238102"/>
    <n v="65.599999999999994"/>
    <n v="-0.23780487804878048"/>
  </r>
  <r>
    <d v="2024-01-14T00:00:00"/>
    <x v="3"/>
    <s v="Campaign 284"/>
    <n v="20"/>
    <n v="15"/>
    <n v="516"/>
    <n v="0.75"/>
    <n v="750"/>
    <n v="25.8"/>
    <n v="34.4"/>
    <n v="0.45348837209302323"/>
  </r>
  <r>
    <d v="2024-01-15T00:00:00"/>
    <x v="3"/>
    <s v="Campaign 285"/>
    <n v="54"/>
    <n v="25"/>
    <n v="596"/>
    <n v="0.46"/>
    <n v="1250"/>
    <n v="11.037037037037036"/>
    <n v="23.84"/>
    <n v="1.0973154362416107"/>
  </r>
  <r>
    <d v="2024-01-16T00:00:00"/>
    <x v="3"/>
    <s v="Campaign 286"/>
    <n v="31"/>
    <n v="39"/>
    <n v="249"/>
    <n v="1.26"/>
    <n v="1950"/>
    <n v="8.0322580645161299"/>
    <n v="6.384615384615385"/>
    <n v="6.831325301204819"/>
  </r>
  <r>
    <d v="2024-01-17T00:00:00"/>
    <x v="3"/>
    <s v="Campaign 287"/>
    <n v="128"/>
    <n v="39"/>
    <n v="1389"/>
    <n v="0.3"/>
    <n v="1950"/>
    <n v="10.8515625"/>
    <n v="35.615384615384613"/>
    <n v="0.4038876889848812"/>
  </r>
  <r>
    <d v="2024-01-18T00:00:00"/>
    <x v="3"/>
    <s v="Campaign 288"/>
    <n v="101"/>
    <n v="10"/>
    <n v="1711"/>
    <n v="0.1"/>
    <n v="500"/>
    <n v="16.940594059405942"/>
    <n v="171.1"/>
    <n v="-0.70777323202805376"/>
  </r>
  <r>
    <d v="2024-01-19T00:00:00"/>
    <x v="3"/>
    <s v="Campaign 289"/>
    <n v="93"/>
    <n v="42"/>
    <n v="245"/>
    <n v="0.45"/>
    <n v="2100"/>
    <n v="2.6344086021505375"/>
    <n v="5.833333333333333"/>
    <n v="7.5714285714285712"/>
  </r>
  <r>
    <d v="2024-01-20T00:00:00"/>
    <x v="3"/>
    <s v="Campaign 290"/>
    <n v="39"/>
    <n v="32"/>
    <n v="759"/>
    <n v="0.82"/>
    <n v="1600"/>
    <n v="19.46153846153846"/>
    <n v="23.71875"/>
    <n v="1.1080368906455862"/>
  </r>
  <r>
    <d v="2024-01-21T00:00:00"/>
    <x v="3"/>
    <s v="Campaign 291"/>
    <n v="92"/>
    <n v="47"/>
    <n v="1388"/>
    <n v="0.51"/>
    <n v="2350"/>
    <n v="15.086956521739131"/>
    <n v="29.531914893617021"/>
    <n v="0.69308357348703165"/>
  </r>
  <r>
    <d v="2024-01-22T00:00:00"/>
    <x v="3"/>
    <s v="Campaign 292"/>
    <n v="66"/>
    <n v="5"/>
    <n v="1564"/>
    <n v="0.08"/>
    <n v="250"/>
    <n v="23.696969696969695"/>
    <n v="312.8"/>
    <n v="-0.84015345268542196"/>
  </r>
  <r>
    <d v="2024-01-23T00:00:00"/>
    <x v="3"/>
    <s v="Campaign 293"/>
    <n v="109"/>
    <n v="15"/>
    <n v="1720"/>
    <n v="0.14000000000000001"/>
    <n v="750"/>
    <n v="15.779816513761467"/>
    <n v="114.66666666666667"/>
    <n v="-0.56395348837209303"/>
  </r>
  <r>
    <d v="2024-01-24T00:00:00"/>
    <x v="3"/>
    <s v="Campaign 294"/>
    <n v="130"/>
    <n v="48"/>
    <n v="1332"/>
    <n v="0.37"/>
    <n v="2400"/>
    <n v="10.246153846153845"/>
    <n v="27.75"/>
    <n v="0.80180180180180183"/>
  </r>
  <r>
    <d v="2024-01-25T00:00:00"/>
    <x v="3"/>
    <s v="Campaign 295"/>
    <n v="37"/>
    <n v="41"/>
    <n v="1669"/>
    <n v="1.1100000000000001"/>
    <n v="2050"/>
    <n v="45.108108108108105"/>
    <n v="40.707317073170735"/>
    <n v="0.22828040742959857"/>
  </r>
  <r>
    <d v="2024-01-26T00:00:00"/>
    <x v="3"/>
    <s v="Campaign 296"/>
    <n v="50"/>
    <n v="12"/>
    <n v="601"/>
    <n v="0.24"/>
    <n v="600"/>
    <n v="12.02"/>
    <n v="50.083333333333336"/>
    <n v="-1.6638935108153079E-3"/>
  </r>
  <r>
    <d v="2024-01-27T00:00:00"/>
    <x v="3"/>
    <s v="Campaign 297"/>
    <n v="88"/>
    <n v="44"/>
    <n v="1881"/>
    <n v="0.5"/>
    <n v="2200"/>
    <n v="21.375"/>
    <n v="42.75"/>
    <n v="0.16959064327485379"/>
  </r>
  <r>
    <d v="2024-01-28T00:00:00"/>
    <x v="3"/>
    <s v="Campaign 298"/>
    <n v="86"/>
    <n v="37"/>
    <n v="1029"/>
    <n v="0.43"/>
    <n v="1850"/>
    <n v="11.965116279069768"/>
    <n v="27.810810810810811"/>
    <n v="0.79786200194363455"/>
  </r>
  <r>
    <d v="2024-01-29T00:00:00"/>
    <x v="3"/>
    <s v="Campaign 299"/>
    <n v="136"/>
    <n v="21"/>
    <n v="445"/>
    <n v="0.15"/>
    <n v="1050"/>
    <n v="3.2720588235294117"/>
    <n v="21.19047619047619"/>
    <n v="1.3595505617977528"/>
  </r>
  <r>
    <d v="2024-01-30T00:00:00"/>
    <x v="3"/>
    <s v="Campaign 300"/>
    <n v="133"/>
    <n v="6"/>
    <n v="1864"/>
    <n v="0.05"/>
    <n v="300"/>
    <n v="14.015037593984962"/>
    <n v="310.66666666666669"/>
    <n v="-0.83905579399141628"/>
  </r>
  <r>
    <d v="2024-01-31T00:00:00"/>
    <x v="3"/>
    <s v="Campaign 301"/>
    <n v="30"/>
    <n v="37"/>
    <n v="109"/>
    <n v="1.23"/>
    <n v="1850"/>
    <n v="3.6333333333333333"/>
    <n v="2.9459459459459461"/>
    <n v="15.972477064220184"/>
  </r>
  <r>
    <d v="2024-02-01T00:00:00"/>
    <x v="3"/>
    <s v="Campaign 302"/>
    <n v="59"/>
    <n v="41"/>
    <n v="1762"/>
    <n v="0.69"/>
    <n v="2050"/>
    <n v="29.864406779661017"/>
    <n v="42.975609756097562"/>
    <n v="0.16345062429057888"/>
  </r>
  <r>
    <d v="2024-02-02T00:00:00"/>
    <x v="3"/>
    <s v="Campaign 303"/>
    <n v="83"/>
    <n v="35"/>
    <n v="1990"/>
    <n v="0.42"/>
    <n v="1750"/>
    <n v="23.975903614457831"/>
    <n v="56.857142857142854"/>
    <n v="-0.12060301507537688"/>
  </r>
  <r>
    <d v="2024-02-03T00:00:00"/>
    <x v="3"/>
    <s v="Campaign 304"/>
    <n v="99"/>
    <n v="15"/>
    <n v="1050"/>
    <n v="0.15"/>
    <n v="750"/>
    <n v="10.606060606060606"/>
    <n v="70"/>
    <n v="-0.2857142857142857"/>
  </r>
  <r>
    <d v="2024-02-04T00:00:00"/>
    <x v="3"/>
    <s v="Campaign 305"/>
    <n v="46"/>
    <n v="37"/>
    <n v="1563"/>
    <n v="0.8"/>
    <n v="1850"/>
    <n v="33.978260869565219"/>
    <n v="42.243243243243242"/>
    <n v="0.18362124120281509"/>
  </r>
  <r>
    <d v="2024-02-05T00:00:00"/>
    <x v="3"/>
    <s v="Campaign 306"/>
    <n v="56"/>
    <n v="27"/>
    <n v="1497"/>
    <n v="0.48"/>
    <n v="1350"/>
    <n v="26.732142857142858"/>
    <n v="55.444444444444443"/>
    <n v="-9.8196392785571143E-2"/>
  </r>
  <r>
    <d v="2024-02-06T00:00:00"/>
    <x v="3"/>
    <s v="Campaign 307"/>
    <n v="77"/>
    <n v="6"/>
    <n v="1670"/>
    <n v="0.08"/>
    <n v="300"/>
    <n v="21.688311688311689"/>
    <n v="278.33333333333331"/>
    <n v="-0.82035928143712578"/>
  </r>
  <r>
    <d v="2024-02-07T00:00:00"/>
    <x v="3"/>
    <s v="Campaign 308"/>
    <n v="36"/>
    <n v="39"/>
    <n v="1623"/>
    <n v="1.08"/>
    <n v="1950"/>
    <n v="45.083333333333336"/>
    <n v="41.615384615384613"/>
    <n v="0.20147874306839186"/>
  </r>
  <r>
    <d v="2024-02-08T00:00:00"/>
    <x v="3"/>
    <s v="Campaign 309"/>
    <n v="84"/>
    <n v="31"/>
    <n v="1205"/>
    <n v="0.37"/>
    <n v="1550"/>
    <n v="14.345238095238095"/>
    <n v="38.87096774193548"/>
    <n v="0.2863070539419087"/>
  </r>
  <r>
    <d v="2024-02-09T00:00:00"/>
    <x v="3"/>
    <s v="Campaign 310"/>
    <n v="142"/>
    <n v="38"/>
    <n v="373"/>
    <n v="0.27"/>
    <n v="1900"/>
    <n v="2.6267605633802815"/>
    <n v="9.8157894736842106"/>
    <n v="4.0938337801608577"/>
  </r>
  <r>
    <d v="2024-02-10T00:00:00"/>
    <x v="3"/>
    <s v="Campaign 311"/>
    <n v="28"/>
    <n v="7"/>
    <n v="1409"/>
    <n v="0.25"/>
    <n v="350"/>
    <n v="50.321428571428569"/>
    <n v="201.28571428571428"/>
    <n v="-0.75159687721788504"/>
  </r>
  <r>
    <d v="2024-02-11T00:00:00"/>
    <x v="3"/>
    <s v="Campaign 312"/>
    <n v="125"/>
    <n v="29"/>
    <n v="1076"/>
    <n v="0.23"/>
    <n v="1450"/>
    <n v="8.6080000000000005"/>
    <n v="37.103448275862071"/>
    <n v="0.34758364312267659"/>
  </r>
  <r>
    <d v="2024-02-12T00:00:00"/>
    <x v="3"/>
    <s v="Campaign 313"/>
    <n v="31"/>
    <n v="9"/>
    <n v="371"/>
    <n v="0.28999999999999998"/>
    <n v="450"/>
    <n v="11.96774193548387"/>
    <n v="41.222222222222221"/>
    <n v="0.21293800539083557"/>
  </r>
  <r>
    <d v="2024-02-13T00:00:00"/>
    <x v="3"/>
    <s v="Campaign 314"/>
    <n v="89"/>
    <n v="42"/>
    <n v="1984"/>
    <n v="0.47"/>
    <n v="2100"/>
    <n v="22.292134831460675"/>
    <n v="47.238095238095241"/>
    <n v="5.8467741935483868E-2"/>
  </r>
  <r>
    <d v="2024-02-14T00:00:00"/>
    <x v="3"/>
    <s v="Campaign 315"/>
    <n v="81"/>
    <n v="40"/>
    <n v="352"/>
    <n v="0.49"/>
    <n v="2000"/>
    <n v="4.3456790123456788"/>
    <n v="8.8000000000000007"/>
    <n v="4.6818181818181817"/>
  </r>
  <r>
    <d v="2024-02-15T00:00:00"/>
    <x v="3"/>
    <s v="Campaign 316"/>
    <n v="26"/>
    <n v="26"/>
    <n v="750"/>
    <n v="1"/>
    <n v="1300"/>
    <n v="28.846153846153847"/>
    <n v="28.846153846153847"/>
    <n v="0.73333333333333328"/>
  </r>
  <r>
    <d v="2024-02-16T00:00:00"/>
    <x v="3"/>
    <s v="Campaign 317"/>
    <n v="142"/>
    <n v="21"/>
    <n v="209"/>
    <n v="0.15"/>
    <n v="1050"/>
    <n v="1.471830985915493"/>
    <n v="9.9523809523809526"/>
    <n v="4.0239234449760763"/>
  </r>
  <r>
    <d v="2024-02-17T00:00:00"/>
    <x v="3"/>
    <s v="Campaign 318"/>
    <n v="126"/>
    <n v="30"/>
    <n v="1006"/>
    <n v="0.24"/>
    <n v="1500"/>
    <n v="7.9841269841269842"/>
    <n v="33.533333333333331"/>
    <n v="0.49105367793240556"/>
  </r>
  <r>
    <d v="2024-02-18T00:00:00"/>
    <x v="3"/>
    <s v="Campaign 319"/>
    <n v="50"/>
    <n v="25"/>
    <n v="1748"/>
    <n v="0.5"/>
    <n v="1250"/>
    <n v="34.96"/>
    <n v="69.92"/>
    <n v="-0.28489702517162474"/>
  </r>
  <r>
    <d v="2024-02-19T00:00:00"/>
    <x v="3"/>
    <s v="Campaign 320"/>
    <n v="37"/>
    <n v="49"/>
    <n v="942"/>
    <n v="1.32"/>
    <n v="2450"/>
    <n v="25.45945945945946"/>
    <n v="19.224489795918366"/>
    <n v="1.6008492569002124"/>
  </r>
  <r>
    <d v="2024-02-20T00:00:00"/>
    <x v="3"/>
    <s v="Campaign 321"/>
    <n v="88"/>
    <n v="28"/>
    <n v="1047"/>
    <n v="0.32"/>
    <n v="1400"/>
    <n v="11.897727272727273"/>
    <n v="37.392857142857146"/>
    <n v="0.33715377268385865"/>
  </r>
  <r>
    <d v="2024-02-21T00:00:00"/>
    <x v="3"/>
    <s v="Campaign 322"/>
    <n v="140"/>
    <n v="36"/>
    <n v="1903"/>
    <n v="0.26"/>
    <n v="1800"/>
    <n v="13.592857142857143"/>
    <n v="52.861111111111114"/>
    <n v="-5.4125065685759324E-2"/>
  </r>
  <r>
    <d v="2024-02-22T00:00:00"/>
    <x v="3"/>
    <s v="Campaign 323"/>
    <n v="28"/>
    <n v="11"/>
    <n v="1260"/>
    <n v="0.39"/>
    <n v="550"/>
    <n v="45"/>
    <n v="114.54545454545455"/>
    <n v="-0.56349206349206349"/>
  </r>
  <r>
    <d v="2024-02-23T00:00:00"/>
    <x v="3"/>
    <s v="Campaign 324"/>
    <n v="148"/>
    <n v="36"/>
    <n v="1001"/>
    <n v="0.24"/>
    <n v="1800"/>
    <n v="6.7635135135135132"/>
    <n v="27.805555555555557"/>
    <n v="0.79820179820179815"/>
  </r>
  <r>
    <d v="2024-02-24T00:00:00"/>
    <x v="3"/>
    <s v="Campaign 325"/>
    <n v="134"/>
    <n v="27"/>
    <n v="283"/>
    <n v="0.2"/>
    <n v="1350"/>
    <n v="2.1119402985074629"/>
    <n v="10.481481481481481"/>
    <n v="3.7703180212014136"/>
  </r>
  <r>
    <d v="2024-02-25T00:00:00"/>
    <x v="3"/>
    <s v="Campaign 326"/>
    <n v="80"/>
    <n v="26"/>
    <n v="1152"/>
    <n v="0.32"/>
    <n v="1300"/>
    <n v="14.4"/>
    <n v="44.307692307692307"/>
    <n v="0.12847222222222221"/>
  </r>
  <r>
    <d v="2024-02-26T00:00:00"/>
    <x v="3"/>
    <s v="Campaign 327"/>
    <n v="78"/>
    <n v="27"/>
    <n v="1650"/>
    <n v="0.35"/>
    <n v="1350"/>
    <n v="21.153846153846153"/>
    <n v="61.111111111111114"/>
    <n v="-0.18181818181818182"/>
  </r>
  <r>
    <d v="2024-02-27T00:00:00"/>
    <x v="3"/>
    <s v="Campaign 328"/>
    <n v="122"/>
    <n v="14"/>
    <n v="518"/>
    <n v="0.11"/>
    <n v="700"/>
    <n v="4.2459016393442619"/>
    <n v="37"/>
    <n v="0.35135135135135137"/>
  </r>
  <r>
    <d v="2024-02-28T00:00:00"/>
    <x v="3"/>
    <s v="Campaign 329"/>
    <n v="71"/>
    <n v="45"/>
    <n v="338"/>
    <n v="0.63"/>
    <n v="2250"/>
    <n v="4.76056338028169"/>
    <n v="7.5111111111111111"/>
    <n v="5.6568047337278102"/>
  </r>
  <r>
    <d v="2024-02-29T00:00:00"/>
    <x v="3"/>
    <s v="Campaign 330"/>
    <n v="133"/>
    <n v="24"/>
    <n v="469"/>
    <n v="0.18"/>
    <n v="1200"/>
    <n v="3.5263157894736841"/>
    <n v="19.541666666666668"/>
    <n v="1.5586353944562901"/>
  </r>
  <r>
    <d v="2024-03-01T00:00:00"/>
    <x v="3"/>
    <s v="Campaign 331"/>
    <n v="93"/>
    <n v="46"/>
    <n v="1723"/>
    <n v="0.49"/>
    <n v="2300"/>
    <n v="18.526881720430108"/>
    <n v="37.456521739130437"/>
    <n v="0.33488102147417298"/>
  </r>
  <r>
    <d v="2024-03-02T00:00:00"/>
    <x v="3"/>
    <s v="Campaign 332"/>
    <n v="42"/>
    <n v="9"/>
    <n v="1178"/>
    <n v="0.21"/>
    <n v="450"/>
    <n v="28.047619047619047"/>
    <n v="130.88888888888889"/>
    <n v="-0.61799660441426141"/>
  </r>
  <r>
    <d v="2024-03-03T00:00:00"/>
    <x v="3"/>
    <s v="Campaign 333"/>
    <n v="139"/>
    <n v="42"/>
    <n v="375"/>
    <n v="0.3"/>
    <n v="2100"/>
    <n v="2.6978417266187051"/>
    <n v="8.9285714285714288"/>
    <n v="4.5999999999999996"/>
  </r>
  <r>
    <d v="2024-03-04T00:00:00"/>
    <x v="3"/>
    <s v="Campaign 334"/>
    <n v="134"/>
    <n v="37"/>
    <n v="1650"/>
    <n v="0.28000000000000003"/>
    <n v="1850"/>
    <n v="12.313432835820896"/>
    <n v="44.594594594594597"/>
    <n v="0.12121212121212122"/>
  </r>
  <r>
    <d v="2024-03-05T00:00:00"/>
    <x v="3"/>
    <s v="Campaign 335"/>
    <n v="99"/>
    <n v="12"/>
    <n v="634"/>
    <n v="0.12"/>
    <n v="600"/>
    <n v="6.404040404040404"/>
    <n v="52.833333333333336"/>
    <n v="-5.362776025236593E-2"/>
  </r>
  <r>
    <d v="2024-03-06T00:00:00"/>
    <x v="3"/>
    <s v="Campaign 336"/>
    <n v="28"/>
    <n v="40"/>
    <n v="161"/>
    <n v="1.43"/>
    <n v="2000"/>
    <n v="5.75"/>
    <n v="4.0250000000000004"/>
    <n v="11.422360248447205"/>
  </r>
  <r>
    <d v="2024-03-07T00:00:00"/>
    <x v="3"/>
    <s v="Campaign 337"/>
    <n v="120"/>
    <n v="28"/>
    <n v="815"/>
    <n v="0.23"/>
    <n v="1400"/>
    <n v="6.791666666666667"/>
    <n v="29.107142857142858"/>
    <n v="0.71779141104294475"/>
  </r>
  <r>
    <d v="2024-03-08T00:00:00"/>
    <x v="3"/>
    <s v="Campaign 338"/>
    <n v="23"/>
    <n v="20"/>
    <n v="1979"/>
    <n v="0.87"/>
    <n v="1000"/>
    <n v="86.043478260869563"/>
    <n v="98.95"/>
    <n v="-0.49469429004547749"/>
  </r>
  <r>
    <d v="2024-03-09T00:00:00"/>
    <x v="3"/>
    <s v="Campaign 339"/>
    <n v="77"/>
    <n v="43"/>
    <n v="486"/>
    <n v="0.56000000000000005"/>
    <n v="2150"/>
    <n v="6.3116883116883118"/>
    <n v="11.302325581395349"/>
    <n v="3.4238683127572016"/>
  </r>
  <r>
    <d v="2024-03-10T00:00:00"/>
    <x v="3"/>
    <s v="Campaign 340"/>
    <n v="139"/>
    <n v="31"/>
    <n v="745"/>
    <n v="0.22"/>
    <n v="1550"/>
    <n v="5.3597122302158278"/>
    <n v="24.032258064516128"/>
    <n v="1.080536912751678"/>
  </r>
  <r>
    <d v="2024-03-11T00:00:00"/>
    <x v="3"/>
    <s v="Campaign 341"/>
    <n v="33"/>
    <n v="38"/>
    <n v="464"/>
    <n v="1.1499999999999999"/>
    <n v="1900"/>
    <n v="14.060606060606061"/>
    <n v="12.210526315789474"/>
    <n v="3.0948275862068964"/>
  </r>
  <r>
    <d v="2024-03-12T00:00:00"/>
    <x v="3"/>
    <s v="Campaign 342"/>
    <n v="107"/>
    <n v="10"/>
    <n v="1483"/>
    <n v="0.09"/>
    <n v="500"/>
    <n v="13.859813084112149"/>
    <n v="148.30000000000001"/>
    <n v="-0.66284558327714094"/>
  </r>
  <r>
    <d v="2024-03-13T00:00:00"/>
    <x v="3"/>
    <s v="Campaign 343"/>
    <n v="28"/>
    <n v="49"/>
    <n v="609"/>
    <n v="1.75"/>
    <n v="2450"/>
    <n v="21.75"/>
    <n v="12.428571428571429"/>
    <n v="3.0229885057471266"/>
  </r>
  <r>
    <d v="2024-03-14T00:00:00"/>
    <x v="3"/>
    <s v="Campaign 344"/>
    <n v="79"/>
    <n v="19"/>
    <n v="980"/>
    <n v="0.24"/>
    <n v="950"/>
    <n v="12.405063291139241"/>
    <n v="51.578947368421055"/>
    <n v="-3.0612244897959183E-2"/>
  </r>
  <r>
    <d v="2024-03-15T00:00:00"/>
    <x v="3"/>
    <s v="Campaign 345"/>
    <n v="70"/>
    <n v="18"/>
    <n v="1170"/>
    <n v="0.26"/>
    <n v="900"/>
    <n v="16.714285714285715"/>
    <n v="65"/>
    <n v="-0.23076923076923078"/>
  </r>
  <r>
    <d v="2024-03-16T00:00:00"/>
    <x v="3"/>
    <s v="Campaign 346"/>
    <n v="35"/>
    <n v="6"/>
    <n v="1173"/>
    <n v="0.17"/>
    <n v="300"/>
    <n v="33.514285714285712"/>
    <n v="195.5"/>
    <n v="-0.74424552429667523"/>
  </r>
  <r>
    <d v="2024-03-17T00:00:00"/>
    <x v="3"/>
    <s v="Campaign 347"/>
    <n v="111"/>
    <n v="44"/>
    <n v="295"/>
    <n v="0.4"/>
    <n v="2200"/>
    <n v="2.6576576576576576"/>
    <n v="6.7045454545454541"/>
    <n v="6.4576271186440675"/>
  </r>
  <r>
    <d v="2024-03-18T00:00:00"/>
    <x v="3"/>
    <s v="Campaign 348"/>
    <n v="51"/>
    <n v="36"/>
    <n v="367"/>
    <n v="0.71"/>
    <n v="1800"/>
    <n v="7.1960784313725492"/>
    <n v="10.194444444444445"/>
    <n v="3.9046321525885559"/>
  </r>
  <r>
    <d v="2024-03-19T00:00:00"/>
    <x v="3"/>
    <s v="Campaign 349"/>
    <n v="71"/>
    <n v="17"/>
    <n v="597"/>
    <n v="0.24"/>
    <n v="850"/>
    <n v="8.408450704225352"/>
    <n v="35.117647058823529"/>
    <n v="0.42378559463986598"/>
  </r>
  <r>
    <d v="2024-03-20T00:00:00"/>
    <x v="3"/>
    <s v="Campaign 350"/>
    <n v="77"/>
    <n v="35"/>
    <n v="1670"/>
    <n v="0.45"/>
    <n v="1750"/>
    <n v="21.688311688311689"/>
    <n v="47.714285714285715"/>
    <n v="4.790419161676647E-2"/>
  </r>
  <r>
    <d v="2024-03-21T00:00:00"/>
    <x v="3"/>
    <s v="Campaign 351"/>
    <n v="46"/>
    <n v="34"/>
    <n v="1168"/>
    <n v="0.74"/>
    <n v="1700"/>
    <n v="25.391304347826086"/>
    <n v="34.352941176470587"/>
    <n v="0.45547945205479451"/>
  </r>
  <r>
    <d v="2024-03-22T00:00:00"/>
    <x v="3"/>
    <s v="Campaign 352"/>
    <n v="46"/>
    <n v="31"/>
    <n v="135"/>
    <n v="0.67"/>
    <n v="1550"/>
    <n v="2.9347826086956523"/>
    <n v="4.354838709677419"/>
    <n v="10.481481481481481"/>
  </r>
  <r>
    <d v="2024-03-23T00:00:00"/>
    <x v="3"/>
    <s v="Campaign 353"/>
    <n v="99"/>
    <n v="36"/>
    <n v="451"/>
    <n v="0.36"/>
    <n v="1800"/>
    <n v="4.5555555555555554"/>
    <n v="12.527777777777779"/>
    <n v="2.9911308203991132"/>
  </r>
  <r>
    <d v="2024-03-24T00:00:00"/>
    <x v="3"/>
    <s v="Campaign 354"/>
    <n v="131"/>
    <n v="43"/>
    <n v="283"/>
    <n v="0.33"/>
    <n v="2150"/>
    <n v="2.1603053435114505"/>
    <n v="6.5813953488372094"/>
    <n v="6.5971731448763249"/>
  </r>
  <r>
    <d v="2024-03-25T00:00:00"/>
    <x v="3"/>
    <s v="Campaign 355"/>
    <n v="69"/>
    <n v="45"/>
    <n v="806"/>
    <n v="0.65"/>
    <n v="2250"/>
    <n v="11.681159420289855"/>
    <n v="17.911111111111111"/>
    <n v="1.7915632754342432"/>
  </r>
  <r>
    <d v="2024-03-26T00:00:00"/>
    <x v="3"/>
    <s v="Campaign 356"/>
    <n v="44"/>
    <n v="39"/>
    <n v="1499"/>
    <n v="0.89"/>
    <n v="1950"/>
    <n v="34.06818181818182"/>
    <n v="38.435897435897438"/>
    <n v="0.30086724482988658"/>
  </r>
  <r>
    <d v="2024-03-27T00:00:00"/>
    <x v="3"/>
    <s v="Campaign 357"/>
    <n v="71"/>
    <n v="31"/>
    <n v="887"/>
    <n v="0.44"/>
    <n v="1550"/>
    <n v="12.492957746478874"/>
    <n v="28.612903225806452"/>
    <n v="0.74746335963923338"/>
  </r>
  <r>
    <d v="2024-03-28T00:00:00"/>
    <x v="3"/>
    <s v="Campaign 358"/>
    <n v="134"/>
    <n v="28"/>
    <n v="1140"/>
    <n v="0.21"/>
    <n v="1400"/>
    <n v="8.5074626865671643"/>
    <n v="40.714285714285715"/>
    <n v="0.22807017543859648"/>
  </r>
  <r>
    <d v="2024-03-29T00:00:00"/>
    <x v="3"/>
    <s v="Campaign 359"/>
    <n v="49"/>
    <n v="24"/>
    <n v="1297"/>
    <n v="0.49"/>
    <n v="1200"/>
    <n v="26.469387755102041"/>
    <n v="54.041666666666664"/>
    <n v="-7.4787972243639173E-2"/>
  </r>
  <r>
    <d v="2024-03-30T00:00:00"/>
    <x v="3"/>
    <s v="Campaign 360"/>
    <n v="134"/>
    <n v="33"/>
    <n v="397"/>
    <n v="0.25"/>
    <n v="1650"/>
    <n v="2.9626865671641789"/>
    <n v="12.030303030303031"/>
    <n v="3.15617128463476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A599C-8D3C-488E-817C-D18FC54DE1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1">
    <pivotField numFmtId="1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numFmtId="164" showAll="0"/>
    <pivotField numFmtId="164"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7" baseField="0" baseItem="0"/>
    <dataField name="Sum of Ad Spend" fld="5" baseField="0" baseItem="0"/>
    <dataField name="Sum of Leads" fld="3" baseField="0" baseItem="0"/>
    <dataField name="Sum of Conversion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09E7-B708-4A80-AE12-9B44CE4E7793}">
  <dimension ref="A3:H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5.6640625" bestFit="1" customWidth="1"/>
    <col min="4" max="4" width="12.21875" bestFit="1" customWidth="1"/>
    <col min="5" max="5" width="17.88671875" bestFit="1" customWidth="1"/>
  </cols>
  <sheetData>
    <row r="3" spans="1:8" x14ac:dyDescent="0.3">
      <c r="A3" s="12" t="s">
        <v>15</v>
      </c>
      <c r="B3" t="s">
        <v>17</v>
      </c>
      <c r="C3" t="s">
        <v>18</v>
      </c>
      <c r="D3" t="s">
        <v>19</v>
      </c>
      <c r="E3" t="s">
        <v>20</v>
      </c>
      <c r="F3" t="s">
        <v>12</v>
      </c>
      <c r="G3" t="s">
        <v>13</v>
      </c>
      <c r="H3" t="s">
        <v>21</v>
      </c>
    </row>
    <row r="4" spans="1:8" x14ac:dyDescent="0.3">
      <c r="A4" s="13" t="s">
        <v>8</v>
      </c>
      <c r="B4">
        <v>116000</v>
      </c>
      <c r="C4">
        <v>93776</v>
      </c>
      <c r="D4">
        <v>8041</v>
      </c>
      <c r="E4">
        <v>2320</v>
      </c>
      <c r="F4">
        <f xml:space="preserve"> C4/ D4</f>
        <v>11.662231065787838</v>
      </c>
      <c r="G4">
        <f xml:space="preserve"> C4 / E4</f>
        <v>40.420689655172417</v>
      </c>
      <c r="H4">
        <f xml:space="preserve"> (B4 - C4)/C4</f>
        <v>0.23699027469715064</v>
      </c>
    </row>
    <row r="5" spans="1:8" x14ac:dyDescent="0.3">
      <c r="A5" s="13" t="s">
        <v>7</v>
      </c>
      <c r="B5">
        <v>117600</v>
      </c>
      <c r="C5">
        <v>96717</v>
      </c>
      <c r="D5">
        <v>7979</v>
      </c>
      <c r="E5">
        <v>2352</v>
      </c>
      <c r="F5">
        <f t="shared" ref="F5:F8" si="0" xml:space="preserve"> C5/ D5</f>
        <v>12.121443789948614</v>
      </c>
      <c r="G5">
        <f t="shared" ref="G5:G8" si="1" xml:space="preserve"> C5 / E5</f>
        <v>41.121173469387756</v>
      </c>
      <c r="H5">
        <f t="shared" ref="H5:H8" si="2" xml:space="preserve"> (B5 - C5)/C5</f>
        <v>0.21591860789726727</v>
      </c>
    </row>
    <row r="6" spans="1:8" x14ac:dyDescent="0.3">
      <c r="A6" s="13" t="s">
        <v>10</v>
      </c>
      <c r="B6">
        <v>132300</v>
      </c>
      <c r="C6">
        <v>92768</v>
      </c>
      <c r="D6">
        <v>7359</v>
      </c>
      <c r="E6">
        <v>2646</v>
      </c>
      <c r="F6">
        <f t="shared" si="0"/>
        <v>12.606060606060606</v>
      </c>
      <c r="G6">
        <f t="shared" si="1"/>
        <v>35.059712773998491</v>
      </c>
      <c r="H6">
        <f t="shared" si="2"/>
        <v>0.42613832355984821</v>
      </c>
    </row>
    <row r="7" spans="1:8" x14ac:dyDescent="0.3">
      <c r="A7" s="13" t="s">
        <v>9</v>
      </c>
      <c r="B7">
        <v>124900</v>
      </c>
      <c r="C7">
        <v>85622</v>
      </c>
      <c r="D7">
        <v>7256</v>
      </c>
      <c r="E7">
        <v>2498</v>
      </c>
      <c r="F7">
        <f t="shared" si="0"/>
        <v>11.800165380374862</v>
      </c>
      <c r="G7">
        <f t="shared" si="1"/>
        <v>34.276220976781424</v>
      </c>
      <c r="H7">
        <f t="shared" si="2"/>
        <v>0.45873724042886171</v>
      </c>
    </row>
    <row r="8" spans="1:8" x14ac:dyDescent="0.3">
      <c r="A8" s="13" t="s">
        <v>16</v>
      </c>
      <c r="B8">
        <v>490800</v>
      </c>
      <c r="C8">
        <v>368883</v>
      </c>
      <c r="D8">
        <v>30635</v>
      </c>
      <c r="E8">
        <v>9816</v>
      </c>
      <c r="F8">
        <f t="shared" si="0"/>
        <v>12.041227354333278</v>
      </c>
      <c r="G8">
        <f t="shared" si="1"/>
        <v>37.579767726161371</v>
      </c>
      <c r="H8">
        <f t="shared" si="2"/>
        <v>0.33050316767105015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1"/>
  <sheetViews>
    <sheetView tabSelected="1" workbookViewId="0">
      <selection activeCell="B12" sqref="B12"/>
    </sheetView>
  </sheetViews>
  <sheetFormatPr defaultRowHeight="14.4" x14ac:dyDescent="0.3"/>
  <cols>
    <col min="1" max="1" width="10.33203125" style="1" bestFit="1" customWidth="1"/>
    <col min="2" max="2" width="12.44140625" bestFit="1" customWidth="1"/>
    <col min="3" max="3" width="15" bestFit="1" customWidth="1"/>
    <col min="4" max="4" width="5.77734375" bestFit="1" customWidth="1"/>
    <col min="5" max="5" width="11.21875" bestFit="1" customWidth="1"/>
    <col min="6" max="6" width="9.109375" bestFit="1" customWidth="1"/>
    <col min="7" max="7" width="14.77734375" bestFit="1" customWidth="1"/>
    <col min="8" max="8" width="8.33203125" bestFit="1" customWidth="1"/>
    <col min="9" max="10" width="8.88671875" style="4"/>
    <col min="11" max="11" width="8.88671875" style="5"/>
  </cols>
  <sheetData>
    <row r="1" spans="1:11" x14ac:dyDescent="0.3">
      <c r="A1" s="2" t="s">
        <v>0</v>
      </c>
      <c r="B1" s="3" t="s">
        <v>1</v>
      </c>
      <c r="C1" s="3" t="s">
        <v>11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6" t="s">
        <v>12</v>
      </c>
      <c r="J1" s="6" t="s">
        <v>13</v>
      </c>
      <c r="K1" s="7" t="s">
        <v>14</v>
      </c>
    </row>
    <row r="2" spans="1:11" x14ac:dyDescent="0.3">
      <c r="A2" s="8">
        <v>45292</v>
      </c>
      <c r="B2" s="9" t="s">
        <v>7</v>
      </c>
      <c r="C2" s="9" t="str">
        <f xml:space="preserve"> "Campaign " &amp; ROW()-1</f>
        <v>Campaign 1</v>
      </c>
      <c r="D2" s="9">
        <v>121</v>
      </c>
      <c r="E2" s="9">
        <v>32</v>
      </c>
      <c r="F2" s="9">
        <v>1204</v>
      </c>
      <c r="G2" s="9">
        <v>0.26</v>
      </c>
      <c r="H2" s="9">
        <v>1600</v>
      </c>
      <c r="I2" s="10">
        <f xml:space="preserve"> F2 / D2</f>
        <v>9.9504132231404956</v>
      </c>
      <c r="J2" s="10">
        <f xml:space="preserve"> F2 / E2</f>
        <v>37.625</v>
      </c>
      <c r="K2" s="11">
        <f xml:space="preserve"> (H2 - F2) / F2</f>
        <v>0.32890365448504982</v>
      </c>
    </row>
    <row r="3" spans="1:11" x14ac:dyDescent="0.3">
      <c r="A3" s="8">
        <v>45293</v>
      </c>
      <c r="B3" s="9" t="s">
        <v>7</v>
      </c>
      <c r="C3" s="9" t="str">
        <f t="shared" ref="C3:C66" si="0" xml:space="preserve"> "Campaign " &amp; ROW()-1</f>
        <v>Campaign 2</v>
      </c>
      <c r="D3" s="9">
        <v>128</v>
      </c>
      <c r="E3" s="9">
        <v>7</v>
      </c>
      <c r="F3" s="9">
        <v>1083</v>
      </c>
      <c r="G3" s="9">
        <v>0.05</v>
      </c>
      <c r="H3" s="9">
        <v>350</v>
      </c>
      <c r="I3" s="10">
        <f t="shared" ref="I3:I66" si="1" xml:space="preserve"> F3 / D3</f>
        <v>8.4609375</v>
      </c>
      <c r="J3" s="10">
        <f t="shared" ref="J3:J66" si="2" xml:space="preserve"> F3 / E3</f>
        <v>154.71428571428572</v>
      </c>
      <c r="K3" s="11">
        <f t="shared" ref="K3:K66" si="3" xml:space="preserve"> (H3 - F3) / F3</f>
        <v>-0.67682363804247458</v>
      </c>
    </row>
    <row r="4" spans="1:11" x14ac:dyDescent="0.3">
      <c r="A4" s="8">
        <v>45294</v>
      </c>
      <c r="B4" s="9" t="s">
        <v>7</v>
      </c>
      <c r="C4" s="9" t="str">
        <f t="shared" si="0"/>
        <v>Campaign 3</v>
      </c>
      <c r="D4" s="9">
        <v>20</v>
      </c>
      <c r="E4" s="9">
        <v>5</v>
      </c>
      <c r="F4" s="9">
        <v>1074</v>
      </c>
      <c r="G4" s="9">
        <v>0.25</v>
      </c>
      <c r="H4" s="9">
        <v>250</v>
      </c>
      <c r="I4" s="10">
        <f t="shared" si="1"/>
        <v>53.7</v>
      </c>
      <c r="J4" s="10">
        <f t="shared" si="2"/>
        <v>214.8</v>
      </c>
      <c r="K4" s="11">
        <f t="shared" si="3"/>
        <v>-0.76722532588454373</v>
      </c>
    </row>
    <row r="5" spans="1:11" x14ac:dyDescent="0.3">
      <c r="A5" s="8">
        <v>45295</v>
      </c>
      <c r="B5" s="9" t="s">
        <v>7</v>
      </c>
      <c r="C5" s="9" t="str">
        <f t="shared" si="0"/>
        <v>Campaign 4</v>
      </c>
      <c r="D5" s="9">
        <v>128</v>
      </c>
      <c r="E5" s="9">
        <v>41</v>
      </c>
      <c r="F5" s="9">
        <v>1161</v>
      </c>
      <c r="G5" s="9">
        <v>0.32</v>
      </c>
      <c r="H5" s="9">
        <v>2050</v>
      </c>
      <c r="I5" s="10">
        <f t="shared" si="1"/>
        <v>9.0703125</v>
      </c>
      <c r="J5" s="10">
        <f t="shared" si="2"/>
        <v>28.317073170731707</v>
      </c>
      <c r="K5" s="11">
        <f t="shared" si="3"/>
        <v>0.76571920757967271</v>
      </c>
    </row>
    <row r="6" spans="1:11" x14ac:dyDescent="0.3">
      <c r="A6" s="8">
        <v>45296</v>
      </c>
      <c r="B6" s="9" t="s">
        <v>7</v>
      </c>
      <c r="C6" s="9" t="str">
        <f t="shared" si="0"/>
        <v>Campaign 5</v>
      </c>
      <c r="D6" s="9">
        <v>58</v>
      </c>
      <c r="E6" s="9">
        <v>5</v>
      </c>
      <c r="F6" s="9">
        <v>847</v>
      </c>
      <c r="G6" s="9">
        <v>0.09</v>
      </c>
      <c r="H6" s="9">
        <v>250</v>
      </c>
      <c r="I6" s="10">
        <f t="shared" si="1"/>
        <v>14.603448275862069</v>
      </c>
      <c r="J6" s="10">
        <f t="shared" si="2"/>
        <v>169.4</v>
      </c>
      <c r="K6" s="11">
        <f t="shared" si="3"/>
        <v>-0.70484061393152297</v>
      </c>
    </row>
    <row r="7" spans="1:11" x14ac:dyDescent="0.3">
      <c r="A7" s="8">
        <v>45297</v>
      </c>
      <c r="B7" s="9" t="s">
        <v>7</v>
      </c>
      <c r="C7" s="9" t="str">
        <f t="shared" si="0"/>
        <v>Campaign 6</v>
      </c>
      <c r="D7" s="9">
        <v>29</v>
      </c>
      <c r="E7" s="9">
        <v>46</v>
      </c>
      <c r="F7" s="9">
        <v>614</v>
      </c>
      <c r="G7" s="9">
        <v>1.59</v>
      </c>
      <c r="H7" s="9">
        <v>2300</v>
      </c>
      <c r="I7" s="10">
        <f t="shared" si="1"/>
        <v>21.172413793103448</v>
      </c>
      <c r="J7" s="10">
        <f t="shared" si="2"/>
        <v>13.347826086956522</v>
      </c>
      <c r="K7" s="11">
        <f t="shared" si="3"/>
        <v>2.7459283387622149</v>
      </c>
    </row>
    <row r="8" spans="1:11" x14ac:dyDescent="0.3">
      <c r="A8" s="8">
        <v>45298</v>
      </c>
      <c r="B8" s="9" t="s">
        <v>7</v>
      </c>
      <c r="C8" s="9" t="str">
        <f t="shared" si="0"/>
        <v>Campaign 7</v>
      </c>
      <c r="D8" s="9">
        <v>69</v>
      </c>
      <c r="E8" s="9">
        <v>48</v>
      </c>
      <c r="F8" s="9">
        <v>1307</v>
      </c>
      <c r="G8" s="9">
        <v>0.7</v>
      </c>
      <c r="H8" s="9">
        <v>2400</v>
      </c>
      <c r="I8" s="10">
        <f t="shared" si="1"/>
        <v>18.942028985507246</v>
      </c>
      <c r="J8" s="10">
        <f t="shared" si="2"/>
        <v>27.229166666666668</v>
      </c>
      <c r="K8" s="11">
        <f t="shared" si="3"/>
        <v>0.83626625860749804</v>
      </c>
    </row>
    <row r="9" spans="1:11" x14ac:dyDescent="0.3">
      <c r="A9" s="8">
        <v>45299</v>
      </c>
      <c r="B9" s="9" t="s">
        <v>7</v>
      </c>
      <c r="C9" s="9" t="str">
        <f t="shared" si="0"/>
        <v>Campaign 8</v>
      </c>
      <c r="D9" s="9">
        <v>45</v>
      </c>
      <c r="E9" s="9">
        <v>10</v>
      </c>
      <c r="F9" s="9">
        <v>1915</v>
      </c>
      <c r="G9" s="9">
        <v>0.22</v>
      </c>
      <c r="H9" s="9">
        <v>500</v>
      </c>
      <c r="I9" s="10">
        <f t="shared" si="1"/>
        <v>42.555555555555557</v>
      </c>
      <c r="J9" s="10">
        <f t="shared" si="2"/>
        <v>191.5</v>
      </c>
      <c r="K9" s="11">
        <f t="shared" si="3"/>
        <v>-0.7389033942558747</v>
      </c>
    </row>
    <row r="10" spans="1:11" x14ac:dyDescent="0.3">
      <c r="A10" s="8">
        <v>45300</v>
      </c>
      <c r="B10" s="9" t="s">
        <v>7</v>
      </c>
      <c r="C10" s="9" t="str">
        <f t="shared" si="0"/>
        <v>Campaign 9</v>
      </c>
      <c r="D10" s="9">
        <v>74</v>
      </c>
      <c r="E10" s="9">
        <v>9</v>
      </c>
      <c r="F10" s="9">
        <v>824</v>
      </c>
      <c r="G10" s="9">
        <v>0.12</v>
      </c>
      <c r="H10" s="9">
        <v>450</v>
      </c>
      <c r="I10" s="10">
        <f t="shared" si="1"/>
        <v>11.135135135135135</v>
      </c>
      <c r="J10" s="10">
        <f t="shared" si="2"/>
        <v>91.555555555555557</v>
      </c>
      <c r="K10" s="11">
        <f t="shared" si="3"/>
        <v>-0.45388349514563109</v>
      </c>
    </row>
    <row r="11" spans="1:11" x14ac:dyDescent="0.3">
      <c r="A11" s="8">
        <v>45301</v>
      </c>
      <c r="B11" s="9" t="s">
        <v>7</v>
      </c>
      <c r="C11" s="9" t="str">
        <f t="shared" si="0"/>
        <v>Campaign 10</v>
      </c>
      <c r="D11" s="9">
        <v>32</v>
      </c>
      <c r="E11" s="9">
        <v>49</v>
      </c>
      <c r="F11" s="9">
        <v>499</v>
      </c>
      <c r="G11" s="9">
        <v>1.53</v>
      </c>
      <c r="H11" s="9">
        <v>2450</v>
      </c>
      <c r="I11" s="10">
        <f t="shared" si="1"/>
        <v>15.59375</v>
      </c>
      <c r="J11" s="10">
        <f t="shared" si="2"/>
        <v>10.183673469387756</v>
      </c>
      <c r="K11" s="11">
        <f t="shared" si="3"/>
        <v>3.9098196392785569</v>
      </c>
    </row>
    <row r="12" spans="1:11" x14ac:dyDescent="0.3">
      <c r="A12" s="8">
        <v>45302</v>
      </c>
      <c r="B12" s="9" t="s">
        <v>7</v>
      </c>
      <c r="C12" s="9" t="str">
        <f t="shared" si="0"/>
        <v>Campaign 11</v>
      </c>
      <c r="D12" s="9">
        <v>54</v>
      </c>
      <c r="E12" s="9">
        <v>31</v>
      </c>
      <c r="F12" s="9">
        <v>1138</v>
      </c>
      <c r="G12" s="9">
        <v>0.56999999999999995</v>
      </c>
      <c r="H12" s="9">
        <v>1550</v>
      </c>
      <c r="I12" s="10">
        <f t="shared" si="1"/>
        <v>21.074074074074073</v>
      </c>
      <c r="J12" s="10">
        <f t="shared" si="2"/>
        <v>36.70967741935484</v>
      </c>
      <c r="K12" s="11">
        <f t="shared" si="3"/>
        <v>0.36203866432337434</v>
      </c>
    </row>
    <row r="13" spans="1:11" x14ac:dyDescent="0.3">
      <c r="A13" s="8">
        <v>45303</v>
      </c>
      <c r="B13" s="9" t="s">
        <v>7</v>
      </c>
      <c r="C13" s="9" t="str">
        <f t="shared" si="0"/>
        <v>Campaign 12</v>
      </c>
      <c r="D13" s="9">
        <v>148</v>
      </c>
      <c r="E13" s="9">
        <v>25</v>
      </c>
      <c r="F13" s="9">
        <v>1992</v>
      </c>
      <c r="G13" s="9">
        <v>0.17</v>
      </c>
      <c r="H13" s="9">
        <v>1250</v>
      </c>
      <c r="I13" s="10">
        <f t="shared" si="1"/>
        <v>13.45945945945946</v>
      </c>
      <c r="J13" s="10">
        <f t="shared" si="2"/>
        <v>79.680000000000007</v>
      </c>
      <c r="K13" s="11">
        <f t="shared" si="3"/>
        <v>-0.37248995983935745</v>
      </c>
    </row>
    <row r="14" spans="1:11" x14ac:dyDescent="0.3">
      <c r="A14" s="8">
        <v>45304</v>
      </c>
      <c r="B14" s="9" t="s">
        <v>7</v>
      </c>
      <c r="C14" s="9" t="str">
        <f t="shared" si="0"/>
        <v>Campaign 13</v>
      </c>
      <c r="D14" s="9">
        <v>29</v>
      </c>
      <c r="E14" s="9">
        <v>16</v>
      </c>
      <c r="F14" s="9">
        <v>161</v>
      </c>
      <c r="G14" s="9">
        <v>0.55000000000000004</v>
      </c>
      <c r="H14" s="9">
        <v>800</v>
      </c>
      <c r="I14" s="10">
        <f t="shared" si="1"/>
        <v>5.5517241379310347</v>
      </c>
      <c r="J14" s="10">
        <f t="shared" si="2"/>
        <v>10.0625</v>
      </c>
      <c r="K14" s="11">
        <f t="shared" si="3"/>
        <v>3.968944099378882</v>
      </c>
    </row>
    <row r="15" spans="1:11" x14ac:dyDescent="0.3">
      <c r="A15" s="8">
        <v>45305</v>
      </c>
      <c r="B15" s="9" t="s">
        <v>7</v>
      </c>
      <c r="C15" s="9" t="str">
        <f t="shared" si="0"/>
        <v>Campaign 14</v>
      </c>
      <c r="D15" s="9">
        <v>127</v>
      </c>
      <c r="E15" s="9">
        <v>21</v>
      </c>
      <c r="F15" s="9">
        <v>920</v>
      </c>
      <c r="G15" s="9">
        <v>0.17</v>
      </c>
      <c r="H15" s="9">
        <v>1050</v>
      </c>
      <c r="I15" s="10">
        <f t="shared" si="1"/>
        <v>7.2440944881889759</v>
      </c>
      <c r="J15" s="10">
        <f t="shared" si="2"/>
        <v>43.80952380952381</v>
      </c>
      <c r="K15" s="11">
        <f t="shared" si="3"/>
        <v>0.14130434782608695</v>
      </c>
    </row>
    <row r="16" spans="1:11" x14ac:dyDescent="0.3">
      <c r="A16" s="8">
        <v>45306</v>
      </c>
      <c r="B16" s="9" t="s">
        <v>7</v>
      </c>
      <c r="C16" s="9" t="str">
        <f t="shared" si="0"/>
        <v>Campaign 15</v>
      </c>
      <c r="D16" s="9">
        <v>136</v>
      </c>
      <c r="E16" s="9">
        <v>16</v>
      </c>
      <c r="F16" s="9">
        <v>1685</v>
      </c>
      <c r="G16" s="9">
        <v>0.12</v>
      </c>
      <c r="H16" s="9">
        <v>800</v>
      </c>
      <c r="I16" s="10">
        <f t="shared" si="1"/>
        <v>12.389705882352942</v>
      </c>
      <c r="J16" s="10">
        <f t="shared" si="2"/>
        <v>105.3125</v>
      </c>
      <c r="K16" s="11">
        <f t="shared" si="3"/>
        <v>-0.52522255192878342</v>
      </c>
    </row>
    <row r="17" spans="1:11" x14ac:dyDescent="0.3">
      <c r="A17" s="8">
        <v>45307</v>
      </c>
      <c r="B17" s="9" t="s">
        <v>7</v>
      </c>
      <c r="C17" s="9" t="str">
        <f t="shared" si="0"/>
        <v>Campaign 16</v>
      </c>
      <c r="D17" s="9">
        <v>45</v>
      </c>
      <c r="E17" s="9">
        <v>37</v>
      </c>
      <c r="F17" s="9">
        <v>1779</v>
      </c>
      <c r="G17" s="9">
        <v>0.82</v>
      </c>
      <c r="H17" s="9">
        <v>1850</v>
      </c>
      <c r="I17" s="10">
        <f t="shared" si="1"/>
        <v>39.533333333333331</v>
      </c>
      <c r="J17" s="10">
        <f t="shared" si="2"/>
        <v>48.081081081081081</v>
      </c>
      <c r="K17" s="11">
        <f t="shared" si="3"/>
        <v>3.9910061832490164E-2</v>
      </c>
    </row>
    <row r="18" spans="1:11" x14ac:dyDescent="0.3">
      <c r="A18" s="8">
        <v>45308</v>
      </c>
      <c r="B18" s="9" t="s">
        <v>7</v>
      </c>
      <c r="C18" s="9" t="str">
        <f t="shared" si="0"/>
        <v>Campaign 17</v>
      </c>
      <c r="D18" s="9">
        <v>25</v>
      </c>
      <c r="E18" s="9">
        <v>36</v>
      </c>
      <c r="F18" s="9">
        <v>1950</v>
      </c>
      <c r="G18" s="9">
        <v>1.44</v>
      </c>
      <c r="H18" s="9">
        <v>1800</v>
      </c>
      <c r="I18" s="10">
        <f t="shared" si="1"/>
        <v>78</v>
      </c>
      <c r="J18" s="10">
        <f t="shared" si="2"/>
        <v>54.166666666666664</v>
      </c>
      <c r="K18" s="11">
        <f t="shared" si="3"/>
        <v>-7.6923076923076927E-2</v>
      </c>
    </row>
    <row r="19" spans="1:11" x14ac:dyDescent="0.3">
      <c r="A19" s="8">
        <v>45309</v>
      </c>
      <c r="B19" s="9" t="s">
        <v>7</v>
      </c>
      <c r="C19" s="9" t="str">
        <f t="shared" si="0"/>
        <v>Campaign 18</v>
      </c>
      <c r="D19" s="9">
        <v>87</v>
      </c>
      <c r="E19" s="9">
        <v>35</v>
      </c>
      <c r="F19" s="9">
        <v>426</v>
      </c>
      <c r="G19" s="9">
        <v>0.4</v>
      </c>
      <c r="H19" s="9">
        <v>1750</v>
      </c>
      <c r="I19" s="10">
        <f t="shared" si="1"/>
        <v>4.8965517241379306</v>
      </c>
      <c r="J19" s="10">
        <f t="shared" si="2"/>
        <v>12.171428571428571</v>
      </c>
      <c r="K19" s="11">
        <f t="shared" si="3"/>
        <v>3.107981220657277</v>
      </c>
    </row>
    <row r="20" spans="1:11" x14ac:dyDescent="0.3">
      <c r="A20" s="8">
        <v>45310</v>
      </c>
      <c r="B20" s="9" t="s">
        <v>7</v>
      </c>
      <c r="C20" s="9" t="str">
        <f t="shared" si="0"/>
        <v>Campaign 19</v>
      </c>
      <c r="D20" s="9">
        <v>68</v>
      </c>
      <c r="E20" s="9">
        <v>8</v>
      </c>
      <c r="F20" s="9">
        <v>1733</v>
      </c>
      <c r="G20" s="9">
        <v>0.12</v>
      </c>
      <c r="H20" s="9">
        <v>400</v>
      </c>
      <c r="I20" s="10">
        <f t="shared" si="1"/>
        <v>25.485294117647058</v>
      </c>
      <c r="J20" s="10">
        <f t="shared" si="2"/>
        <v>216.625</v>
      </c>
      <c r="K20" s="11">
        <f t="shared" si="3"/>
        <v>-0.76918638199653777</v>
      </c>
    </row>
    <row r="21" spans="1:11" x14ac:dyDescent="0.3">
      <c r="A21" s="8">
        <v>45311</v>
      </c>
      <c r="B21" s="9" t="s">
        <v>7</v>
      </c>
      <c r="C21" s="9" t="str">
        <f t="shared" si="0"/>
        <v>Campaign 20</v>
      </c>
      <c r="D21" s="9">
        <v>147</v>
      </c>
      <c r="E21" s="9">
        <v>6</v>
      </c>
      <c r="F21" s="9">
        <v>1525</v>
      </c>
      <c r="G21" s="9">
        <v>0.04</v>
      </c>
      <c r="H21" s="9">
        <v>300</v>
      </c>
      <c r="I21" s="10">
        <f t="shared" si="1"/>
        <v>10.374149659863946</v>
      </c>
      <c r="J21" s="10">
        <f t="shared" si="2"/>
        <v>254.16666666666666</v>
      </c>
      <c r="K21" s="11">
        <f t="shared" si="3"/>
        <v>-0.80327868852459017</v>
      </c>
    </row>
    <row r="22" spans="1:11" x14ac:dyDescent="0.3">
      <c r="A22" s="8">
        <v>45312</v>
      </c>
      <c r="B22" s="9" t="s">
        <v>7</v>
      </c>
      <c r="C22" s="9" t="str">
        <f t="shared" si="0"/>
        <v>Campaign 21</v>
      </c>
      <c r="D22" s="9">
        <v>91</v>
      </c>
      <c r="E22" s="9">
        <v>44</v>
      </c>
      <c r="F22" s="9">
        <v>1429</v>
      </c>
      <c r="G22" s="9">
        <v>0.48</v>
      </c>
      <c r="H22" s="9">
        <v>2200</v>
      </c>
      <c r="I22" s="10">
        <f t="shared" si="1"/>
        <v>15.703296703296703</v>
      </c>
      <c r="J22" s="10">
        <f t="shared" si="2"/>
        <v>32.477272727272727</v>
      </c>
      <c r="K22" s="11">
        <f t="shared" si="3"/>
        <v>0.53953813855843247</v>
      </c>
    </row>
    <row r="23" spans="1:11" x14ac:dyDescent="0.3">
      <c r="A23" s="8">
        <v>45313</v>
      </c>
      <c r="B23" s="9" t="s">
        <v>7</v>
      </c>
      <c r="C23" s="9" t="str">
        <f t="shared" si="0"/>
        <v>Campaign 22</v>
      </c>
      <c r="D23" s="9">
        <v>120</v>
      </c>
      <c r="E23" s="9">
        <v>40</v>
      </c>
      <c r="F23" s="9">
        <v>1482</v>
      </c>
      <c r="G23" s="9">
        <v>0.33</v>
      </c>
      <c r="H23" s="9">
        <v>2000</v>
      </c>
      <c r="I23" s="10">
        <f t="shared" si="1"/>
        <v>12.35</v>
      </c>
      <c r="J23" s="10">
        <f t="shared" si="2"/>
        <v>37.049999999999997</v>
      </c>
      <c r="K23" s="11">
        <f t="shared" si="3"/>
        <v>0.34952766531713902</v>
      </c>
    </row>
    <row r="24" spans="1:11" x14ac:dyDescent="0.3">
      <c r="A24" s="8">
        <v>45314</v>
      </c>
      <c r="B24" s="9" t="s">
        <v>7</v>
      </c>
      <c r="C24" s="9" t="str">
        <f t="shared" si="0"/>
        <v>Campaign 23</v>
      </c>
      <c r="D24" s="9">
        <v>96</v>
      </c>
      <c r="E24" s="9">
        <v>10</v>
      </c>
      <c r="F24" s="9">
        <v>1395</v>
      </c>
      <c r="G24" s="9">
        <v>0.1</v>
      </c>
      <c r="H24" s="9">
        <v>500</v>
      </c>
      <c r="I24" s="10">
        <f t="shared" si="1"/>
        <v>14.53125</v>
      </c>
      <c r="J24" s="10">
        <f t="shared" si="2"/>
        <v>139.5</v>
      </c>
      <c r="K24" s="11">
        <f t="shared" si="3"/>
        <v>-0.64157706093189959</v>
      </c>
    </row>
    <row r="25" spans="1:11" x14ac:dyDescent="0.3">
      <c r="A25" s="8">
        <v>45315</v>
      </c>
      <c r="B25" s="9" t="s">
        <v>7</v>
      </c>
      <c r="C25" s="9" t="str">
        <f t="shared" si="0"/>
        <v>Campaign 24</v>
      </c>
      <c r="D25" s="9">
        <v>103</v>
      </c>
      <c r="E25" s="9">
        <v>45</v>
      </c>
      <c r="F25" s="9">
        <v>1216</v>
      </c>
      <c r="G25" s="9">
        <v>0.44</v>
      </c>
      <c r="H25" s="9">
        <v>2250</v>
      </c>
      <c r="I25" s="10">
        <f t="shared" si="1"/>
        <v>11.805825242718447</v>
      </c>
      <c r="J25" s="10">
        <f t="shared" si="2"/>
        <v>27.022222222222222</v>
      </c>
      <c r="K25" s="11">
        <f t="shared" si="3"/>
        <v>0.85032894736842102</v>
      </c>
    </row>
    <row r="26" spans="1:11" x14ac:dyDescent="0.3">
      <c r="A26" s="8">
        <v>45316</v>
      </c>
      <c r="B26" s="9" t="s">
        <v>7</v>
      </c>
      <c r="C26" s="9" t="str">
        <f t="shared" si="0"/>
        <v>Campaign 25</v>
      </c>
      <c r="D26" s="9">
        <v>141</v>
      </c>
      <c r="E26" s="9">
        <v>48</v>
      </c>
      <c r="F26" s="9">
        <v>1153</v>
      </c>
      <c r="G26" s="9">
        <v>0.34</v>
      </c>
      <c r="H26" s="9">
        <v>2400</v>
      </c>
      <c r="I26" s="10">
        <f t="shared" si="1"/>
        <v>8.1773049645390063</v>
      </c>
      <c r="J26" s="10">
        <f t="shared" si="2"/>
        <v>24.020833333333332</v>
      </c>
      <c r="K26" s="11">
        <f t="shared" si="3"/>
        <v>1.0815264527320034</v>
      </c>
    </row>
    <row r="27" spans="1:11" x14ac:dyDescent="0.3">
      <c r="A27" s="8">
        <v>45317</v>
      </c>
      <c r="B27" s="9" t="s">
        <v>7</v>
      </c>
      <c r="C27" s="9" t="str">
        <f t="shared" si="0"/>
        <v>Campaign 26</v>
      </c>
      <c r="D27" s="9">
        <v>84</v>
      </c>
      <c r="E27" s="9">
        <v>7</v>
      </c>
      <c r="F27" s="9">
        <v>466</v>
      </c>
      <c r="G27" s="9">
        <v>0.08</v>
      </c>
      <c r="H27" s="9">
        <v>350</v>
      </c>
      <c r="I27" s="10">
        <f t="shared" si="1"/>
        <v>5.5476190476190474</v>
      </c>
      <c r="J27" s="10">
        <f t="shared" si="2"/>
        <v>66.571428571428569</v>
      </c>
      <c r="K27" s="11">
        <f t="shared" si="3"/>
        <v>-0.24892703862660945</v>
      </c>
    </row>
    <row r="28" spans="1:11" x14ac:dyDescent="0.3">
      <c r="A28" s="8">
        <v>45318</v>
      </c>
      <c r="B28" s="9" t="s">
        <v>7</v>
      </c>
      <c r="C28" s="9" t="str">
        <f t="shared" si="0"/>
        <v>Campaign 27</v>
      </c>
      <c r="D28" s="9">
        <v>143</v>
      </c>
      <c r="E28" s="9">
        <v>30</v>
      </c>
      <c r="F28" s="9">
        <v>1416</v>
      </c>
      <c r="G28" s="9">
        <v>0.21</v>
      </c>
      <c r="H28" s="9">
        <v>1500</v>
      </c>
      <c r="I28" s="10">
        <f t="shared" si="1"/>
        <v>9.9020979020979016</v>
      </c>
      <c r="J28" s="10">
        <f t="shared" si="2"/>
        <v>47.2</v>
      </c>
      <c r="K28" s="11">
        <f t="shared" si="3"/>
        <v>5.9322033898305086E-2</v>
      </c>
    </row>
    <row r="29" spans="1:11" x14ac:dyDescent="0.3">
      <c r="A29" s="8">
        <v>45319</v>
      </c>
      <c r="B29" s="9" t="s">
        <v>7</v>
      </c>
      <c r="C29" s="9" t="str">
        <f t="shared" si="0"/>
        <v>Campaign 28</v>
      </c>
      <c r="D29" s="9">
        <v>115</v>
      </c>
      <c r="E29" s="9">
        <v>20</v>
      </c>
      <c r="F29" s="9">
        <v>813</v>
      </c>
      <c r="G29" s="9">
        <v>0.17</v>
      </c>
      <c r="H29" s="9">
        <v>1000</v>
      </c>
      <c r="I29" s="10">
        <f t="shared" si="1"/>
        <v>7.0695652173913039</v>
      </c>
      <c r="J29" s="10">
        <f t="shared" si="2"/>
        <v>40.65</v>
      </c>
      <c r="K29" s="11">
        <f t="shared" si="3"/>
        <v>0.23001230012300122</v>
      </c>
    </row>
    <row r="30" spans="1:11" x14ac:dyDescent="0.3">
      <c r="A30" s="8">
        <v>45320</v>
      </c>
      <c r="B30" s="9" t="s">
        <v>7</v>
      </c>
      <c r="C30" s="9" t="str">
        <f t="shared" si="0"/>
        <v>Campaign 29</v>
      </c>
      <c r="D30" s="9">
        <v>53</v>
      </c>
      <c r="E30" s="9">
        <v>36</v>
      </c>
      <c r="F30" s="9">
        <v>504</v>
      </c>
      <c r="G30" s="9">
        <v>0.68</v>
      </c>
      <c r="H30" s="9">
        <v>1800</v>
      </c>
      <c r="I30" s="10">
        <f t="shared" si="1"/>
        <v>9.5094339622641506</v>
      </c>
      <c r="J30" s="10">
        <f t="shared" si="2"/>
        <v>14</v>
      </c>
      <c r="K30" s="11">
        <f t="shared" si="3"/>
        <v>2.5714285714285716</v>
      </c>
    </row>
    <row r="31" spans="1:11" x14ac:dyDescent="0.3">
      <c r="A31" s="8">
        <v>45321</v>
      </c>
      <c r="B31" s="9" t="s">
        <v>7</v>
      </c>
      <c r="C31" s="9" t="str">
        <f t="shared" si="0"/>
        <v>Campaign 30</v>
      </c>
      <c r="D31" s="9">
        <v>46</v>
      </c>
      <c r="E31" s="9">
        <v>38</v>
      </c>
      <c r="F31" s="9">
        <v>538</v>
      </c>
      <c r="G31" s="9">
        <v>0.83</v>
      </c>
      <c r="H31" s="9">
        <v>1900</v>
      </c>
      <c r="I31" s="10">
        <f t="shared" si="1"/>
        <v>11.695652173913043</v>
      </c>
      <c r="J31" s="10">
        <f t="shared" si="2"/>
        <v>14.157894736842104</v>
      </c>
      <c r="K31" s="11">
        <f t="shared" si="3"/>
        <v>2.5315985130111525</v>
      </c>
    </row>
    <row r="32" spans="1:11" x14ac:dyDescent="0.3">
      <c r="A32" s="8">
        <v>45322</v>
      </c>
      <c r="B32" s="9" t="s">
        <v>7</v>
      </c>
      <c r="C32" s="9" t="str">
        <f t="shared" si="0"/>
        <v>Campaign 31</v>
      </c>
      <c r="D32" s="9">
        <v>107</v>
      </c>
      <c r="E32" s="9">
        <v>27</v>
      </c>
      <c r="F32" s="9">
        <v>1711</v>
      </c>
      <c r="G32" s="9">
        <v>0.25</v>
      </c>
      <c r="H32" s="9">
        <v>1350</v>
      </c>
      <c r="I32" s="10">
        <f t="shared" si="1"/>
        <v>15.990654205607477</v>
      </c>
      <c r="J32" s="10">
        <f t="shared" si="2"/>
        <v>63.370370370370374</v>
      </c>
      <c r="K32" s="11">
        <f t="shared" si="3"/>
        <v>-0.21098772647574518</v>
      </c>
    </row>
    <row r="33" spans="1:11" x14ac:dyDescent="0.3">
      <c r="A33" s="8">
        <v>45323</v>
      </c>
      <c r="B33" s="9" t="s">
        <v>7</v>
      </c>
      <c r="C33" s="9" t="str">
        <f t="shared" si="0"/>
        <v>Campaign 32</v>
      </c>
      <c r="D33" s="9">
        <v>105</v>
      </c>
      <c r="E33" s="9">
        <v>10</v>
      </c>
      <c r="F33" s="9">
        <v>1550</v>
      </c>
      <c r="G33" s="9">
        <v>0.1</v>
      </c>
      <c r="H33" s="9">
        <v>500</v>
      </c>
      <c r="I33" s="10">
        <f t="shared" si="1"/>
        <v>14.761904761904763</v>
      </c>
      <c r="J33" s="10">
        <f t="shared" si="2"/>
        <v>155</v>
      </c>
      <c r="K33" s="11">
        <f t="shared" si="3"/>
        <v>-0.67741935483870963</v>
      </c>
    </row>
    <row r="34" spans="1:11" x14ac:dyDescent="0.3">
      <c r="A34" s="8">
        <v>45324</v>
      </c>
      <c r="B34" s="9" t="s">
        <v>7</v>
      </c>
      <c r="C34" s="9" t="str">
        <f t="shared" si="0"/>
        <v>Campaign 33</v>
      </c>
      <c r="D34" s="9">
        <v>116</v>
      </c>
      <c r="E34" s="9">
        <v>8</v>
      </c>
      <c r="F34" s="9">
        <v>1082</v>
      </c>
      <c r="G34" s="9">
        <v>7.0000000000000007E-2</v>
      </c>
      <c r="H34" s="9">
        <v>400</v>
      </c>
      <c r="I34" s="10">
        <f t="shared" si="1"/>
        <v>9.3275862068965516</v>
      </c>
      <c r="J34" s="10">
        <f t="shared" si="2"/>
        <v>135.25</v>
      </c>
      <c r="K34" s="11">
        <f t="shared" si="3"/>
        <v>-0.63031423290203326</v>
      </c>
    </row>
    <row r="35" spans="1:11" x14ac:dyDescent="0.3">
      <c r="A35" s="8">
        <v>45325</v>
      </c>
      <c r="B35" s="9" t="s">
        <v>7</v>
      </c>
      <c r="C35" s="9" t="str">
        <f t="shared" si="0"/>
        <v>Campaign 34</v>
      </c>
      <c r="D35" s="9">
        <v>62</v>
      </c>
      <c r="E35" s="9">
        <v>19</v>
      </c>
      <c r="F35" s="9">
        <v>295</v>
      </c>
      <c r="G35" s="9">
        <v>0.31</v>
      </c>
      <c r="H35" s="9">
        <v>950</v>
      </c>
      <c r="I35" s="10">
        <f t="shared" si="1"/>
        <v>4.758064516129032</v>
      </c>
      <c r="J35" s="10">
        <f t="shared" si="2"/>
        <v>15.526315789473685</v>
      </c>
      <c r="K35" s="11">
        <f t="shared" si="3"/>
        <v>2.2203389830508473</v>
      </c>
    </row>
    <row r="36" spans="1:11" x14ac:dyDescent="0.3">
      <c r="A36" s="8">
        <v>45326</v>
      </c>
      <c r="B36" s="9" t="s">
        <v>7</v>
      </c>
      <c r="C36" s="9" t="str">
        <f t="shared" si="0"/>
        <v>Campaign 35</v>
      </c>
      <c r="D36" s="9">
        <v>102</v>
      </c>
      <c r="E36" s="9">
        <v>35</v>
      </c>
      <c r="F36" s="9">
        <v>1825</v>
      </c>
      <c r="G36" s="9">
        <v>0.34</v>
      </c>
      <c r="H36" s="9">
        <v>1750</v>
      </c>
      <c r="I36" s="10">
        <f t="shared" si="1"/>
        <v>17.892156862745097</v>
      </c>
      <c r="J36" s="10">
        <f t="shared" si="2"/>
        <v>52.142857142857146</v>
      </c>
      <c r="K36" s="11">
        <f t="shared" si="3"/>
        <v>-4.1095890410958902E-2</v>
      </c>
    </row>
    <row r="37" spans="1:11" x14ac:dyDescent="0.3">
      <c r="A37" s="8">
        <v>45327</v>
      </c>
      <c r="B37" s="9" t="s">
        <v>7</v>
      </c>
      <c r="C37" s="9" t="str">
        <f t="shared" si="0"/>
        <v>Campaign 36</v>
      </c>
      <c r="D37" s="9">
        <v>62</v>
      </c>
      <c r="E37" s="9">
        <v>22</v>
      </c>
      <c r="F37" s="9">
        <v>1418</v>
      </c>
      <c r="G37" s="9">
        <v>0.35</v>
      </c>
      <c r="H37" s="9">
        <v>1100</v>
      </c>
      <c r="I37" s="10">
        <f t="shared" si="1"/>
        <v>22.870967741935484</v>
      </c>
      <c r="J37" s="10">
        <f t="shared" si="2"/>
        <v>64.454545454545453</v>
      </c>
      <c r="K37" s="11">
        <f t="shared" si="3"/>
        <v>-0.22425952045133993</v>
      </c>
    </row>
    <row r="38" spans="1:11" x14ac:dyDescent="0.3">
      <c r="A38" s="8">
        <v>45328</v>
      </c>
      <c r="B38" s="9" t="s">
        <v>7</v>
      </c>
      <c r="C38" s="9" t="str">
        <f t="shared" si="0"/>
        <v>Campaign 37</v>
      </c>
      <c r="D38" s="9">
        <v>116</v>
      </c>
      <c r="E38" s="9">
        <v>17</v>
      </c>
      <c r="F38" s="9">
        <v>394</v>
      </c>
      <c r="G38" s="9">
        <v>0.15</v>
      </c>
      <c r="H38" s="9">
        <v>850</v>
      </c>
      <c r="I38" s="10">
        <f t="shared" si="1"/>
        <v>3.396551724137931</v>
      </c>
      <c r="J38" s="10">
        <f t="shared" si="2"/>
        <v>23.176470588235293</v>
      </c>
      <c r="K38" s="11">
        <f t="shared" si="3"/>
        <v>1.1573604060913705</v>
      </c>
    </row>
    <row r="39" spans="1:11" x14ac:dyDescent="0.3">
      <c r="A39" s="8">
        <v>45329</v>
      </c>
      <c r="B39" s="9" t="s">
        <v>7</v>
      </c>
      <c r="C39" s="9" t="str">
        <f t="shared" si="0"/>
        <v>Campaign 38</v>
      </c>
      <c r="D39" s="9">
        <v>106</v>
      </c>
      <c r="E39" s="9">
        <v>23</v>
      </c>
      <c r="F39" s="9">
        <v>1351</v>
      </c>
      <c r="G39" s="9">
        <v>0.22</v>
      </c>
      <c r="H39" s="9">
        <v>1150</v>
      </c>
      <c r="I39" s="10">
        <f t="shared" si="1"/>
        <v>12.745283018867925</v>
      </c>
      <c r="J39" s="10">
        <f t="shared" si="2"/>
        <v>58.739130434782609</v>
      </c>
      <c r="K39" s="11">
        <f t="shared" si="3"/>
        <v>-0.14877868245743894</v>
      </c>
    </row>
    <row r="40" spans="1:11" x14ac:dyDescent="0.3">
      <c r="A40" s="8">
        <v>45330</v>
      </c>
      <c r="B40" s="9" t="s">
        <v>7</v>
      </c>
      <c r="C40" s="9" t="str">
        <f t="shared" si="0"/>
        <v>Campaign 39</v>
      </c>
      <c r="D40" s="9">
        <v>76</v>
      </c>
      <c r="E40" s="9">
        <v>26</v>
      </c>
      <c r="F40" s="9">
        <v>1105</v>
      </c>
      <c r="G40" s="9">
        <v>0.34</v>
      </c>
      <c r="H40" s="9">
        <v>1300</v>
      </c>
      <c r="I40" s="10">
        <f t="shared" si="1"/>
        <v>14.539473684210526</v>
      </c>
      <c r="J40" s="10">
        <f t="shared" si="2"/>
        <v>42.5</v>
      </c>
      <c r="K40" s="11">
        <f t="shared" si="3"/>
        <v>0.17647058823529413</v>
      </c>
    </row>
    <row r="41" spans="1:11" x14ac:dyDescent="0.3">
      <c r="A41" s="8">
        <v>45331</v>
      </c>
      <c r="B41" s="9" t="s">
        <v>7</v>
      </c>
      <c r="C41" s="9" t="str">
        <f t="shared" si="0"/>
        <v>Campaign 40</v>
      </c>
      <c r="D41" s="9">
        <v>120</v>
      </c>
      <c r="E41" s="9">
        <v>42</v>
      </c>
      <c r="F41" s="9">
        <v>540</v>
      </c>
      <c r="G41" s="9">
        <v>0.35</v>
      </c>
      <c r="H41" s="9">
        <v>2100</v>
      </c>
      <c r="I41" s="10">
        <f t="shared" si="1"/>
        <v>4.5</v>
      </c>
      <c r="J41" s="10">
        <f t="shared" si="2"/>
        <v>12.857142857142858</v>
      </c>
      <c r="K41" s="11">
        <f t="shared" si="3"/>
        <v>2.8888888888888888</v>
      </c>
    </row>
    <row r="42" spans="1:11" x14ac:dyDescent="0.3">
      <c r="A42" s="8">
        <v>45332</v>
      </c>
      <c r="B42" s="9" t="s">
        <v>7</v>
      </c>
      <c r="C42" s="9" t="str">
        <f t="shared" si="0"/>
        <v>Campaign 41</v>
      </c>
      <c r="D42" s="9">
        <v>118</v>
      </c>
      <c r="E42" s="9">
        <v>18</v>
      </c>
      <c r="F42" s="9">
        <v>1253</v>
      </c>
      <c r="G42" s="9">
        <v>0.15</v>
      </c>
      <c r="H42" s="9">
        <v>900</v>
      </c>
      <c r="I42" s="10">
        <f t="shared" si="1"/>
        <v>10.618644067796611</v>
      </c>
      <c r="J42" s="10">
        <f t="shared" si="2"/>
        <v>69.611111111111114</v>
      </c>
      <c r="K42" s="11">
        <f t="shared" si="3"/>
        <v>-0.28172386272944933</v>
      </c>
    </row>
    <row r="43" spans="1:11" x14ac:dyDescent="0.3">
      <c r="A43" s="8">
        <v>45333</v>
      </c>
      <c r="B43" s="9" t="s">
        <v>7</v>
      </c>
      <c r="C43" s="9" t="str">
        <f t="shared" si="0"/>
        <v>Campaign 42</v>
      </c>
      <c r="D43" s="9">
        <v>52</v>
      </c>
      <c r="E43" s="9">
        <v>16</v>
      </c>
      <c r="F43" s="9">
        <v>640</v>
      </c>
      <c r="G43" s="9">
        <v>0.31</v>
      </c>
      <c r="H43" s="9">
        <v>800</v>
      </c>
      <c r="I43" s="10">
        <f t="shared" si="1"/>
        <v>12.307692307692308</v>
      </c>
      <c r="J43" s="10">
        <f t="shared" si="2"/>
        <v>40</v>
      </c>
      <c r="K43" s="11">
        <f t="shared" si="3"/>
        <v>0.25</v>
      </c>
    </row>
    <row r="44" spans="1:11" x14ac:dyDescent="0.3">
      <c r="A44" s="8">
        <v>45334</v>
      </c>
      <c r="B44" s="9" t="s">
        <v>7</v>
      </c>
      <c r="C44" s="9" t="str">
        <f t="shared" si="0"/>
        <v>Campaign 43</v>
      </c>
      <c r="D44" s="9">
        <v>73</v>
      </c>
      <c r="E44" s="9">
        <v>45</v>
      </c>
      <c r="F44" s="9">
        <v>717</v>
      </c>
      <c r="G44" s="9">
        <v>0.62</v>
      </c>
      <c r="H44" s="9">
        <v>2250</v>
      </c>
      <c r="I44" s="10">
        <f t="shared" si="1"/>
        <v>9.8219178082191778</v>
      </c>
      <c r="J44" s="10">
        <f t="shared" si="2"/>
        <v>15.933333333333334</v>
      </c>
      <c r="K44" s="11">
        <f t="shared" si="3"/>
        <v>2.1380753138075312</v>
      </c>
    </row>
    <row r="45" spans="1:11" x14ac:dyDescent="0.3">
      <c r="A45" s="8">
        <v>45335</v>
      </c>
      <c r="B45" s="9" t="s">
        <v>7</v>
      </c>
      <c r="C45" s="9" t="str">
        <f t="shared" si="0"/>
        <v>Campaign 44</v>
      </c>
      <c r="D45" s="9">
        <v>32</v>
      </c>
      <c r="E45" s="9">
        <v>48</v>
      </c>
      <c r="F45" s="9">
        <v>508</v>
      </c>
      <c r="G45" s="9">
        <v>1.5</v>
      </c>
      <c r="H45" s="9">
        <v>2400</v>
      </c>
      <c r="I45" s="10">
        <f t="shared" si="1"/>
        <v>15.875</v>
      </c>
      <c r="J45" s="10">
        <f t="shared" si="2"/>
        <v>10.583333333333334</v>
      </c>
      <c r="K45" s="11">
        <f t="shared" si="3"/>
        <v>3.7244094488188977</v>
      </c>
    </row>
    <row r="46" spans="1:11" x14ac:dyDescent="0.3">
      <c r="A46" s="8">
        <v>45336</v>
      </c>
      <c r="B46" s="9" t="s">
        <v>7</v>
      </c>
      <c r="C46" s="9" t="str">
        <f t="shared" si="0"/>
        <v>Campaign 45</v>
      </c>
      <c r="D46" s="9">
        <v>45</v>
      </c>
      <c r="E46" s="9">
        <v>8</v>
      </c>
      <c r="F46" s="9">
        <v>571</v>
      </c>
      <c r="G46" s="9">
        <v>0.18</v>
      </c>
      <c r="H46" s="9">
        <v>400</v>
      </c>
      <c r="I46" s="10">
        <f t="shared" si="1"/>
        <v>12.688888888888888</v>
      </c>
      <c r="J46" s="10">
        <f t="shared" si="2"/>
        <v>71.375</v>
      </c>
      <c r="K46" s="11">
        <f t="shared" si="3"/>
        <v>-0.29947460595446584</v>
      </c>
    </row>
    <row r="47" spans="1:11" x14ac:dyDescent="0.3">
      <c r="A47" s="8">
        <v>45337</v>
      </c>
      <c r="B47" s="9" t="s">
        <v>7</v>
      </c>
      <c r="C47" s="9" t="str">
        <f t="shared" si="0"/>
        <v>Campaign 46</v>
      </c>
      <c r="D47" s="9">
        <v>32</v>
      </c>
      <c r="E47" s="9">
        <v>36</v>
      </c>
      <c r="F47" s="9">
        <v>526</v>
      </c>
      <c r="G47" s="9">
        <v>1.1200000000000001</v>
      </c>
      <c r="H47" s="9">
        <v>1800</v>
      </c>
      <c r="I47" s="10">
        <f t="shared" si="1"/>
        <v>16.4375</v>
      </c>
      <c r="J47" s="10">
        <f t="shared" si="2"/>
        <v>14.611111111111111</v>
      </c>
      <c r="K47" s="11">
        <f t="shared" si="3"/>
        <v>2.4220532319391634</v>
      </c>
    </row>
    <row r="48" spans="1:11" x14ac:dyDescent="0.3">
      <c r="A48" s="8">
        <v>45338</v>
      </c>
      <c r="B48" s="9" t="s">
        <v>7</v>
      </c>
      <c r="C48" s="9" t="str">
        <f t="shared" si="0"/>
        <v>Campaign 47</v>
      </c>
      <c r="D48" s="9">
        <v>86</v>
      </c>
      <c r="E48" s="9">
        <v>35</v>
      </c>
      <c r="F48" s="9">
        <v>1021</v>
      </c>
      <c r="G48" s="9">
        <v>0.41</v>
      </c>
      <c r="H48" s="9">
        <v>1750</v>
      </c>
      <c r="I48" s="10">
        <f t="shared" si="1"/>
        <v>11.872093023255815</v>
      </c>
      <c r="J48" s="10">
        <f t="shared" si="2"/>
        <v>29.171428571428571</v>
      </c>
      <c r="K48" s="11">
        <f t="shared" si="3"/>
        <v>0.71400587659157688</v>
      </c>
    </row>
    <row r="49" spans="1:11" x14ac:dyDescent="0.3">
      <c r="A49" s="8">
        <v>45339</v>
      </c>
      <c r="B49" s="9" t="s">
        <v>7</v>
      </c>
      <c r="C49" s="9" t="str">
        <f t="shared" si="0"/>
        <v>Campaign 48</v>
      </c>
      <c r="D49" s="9">
        <v>42</v>
      </c>
      <c r="E49" s="9">
        <v>19</v>
      </c>
      <c r="F49" s="9">
        <v>158</v>
      </c>
      <c r="G49" s="9">
        <v>0.45</v>
      </c>
      <c r="H49" s="9">
        <v>950</v>
      </c>
      <c r="I49" s="10">
        <f t="shared" si="1"/>
        <v>3.7619047619047619</v>
      </c>
      <c r="J49" s="10">
        <f t="shared" si="2"/>
        <v>8.3157894736842106</v>
      </c>
      <c r="K49" s="11">
        <f t="shared" si="3"/>
        <v>5.0126582278481013</v>
      </c>
    </row>
    <row r="50" spans="1:11" x14ac:dyDescent="0.3">
      <c r="A50" s="8">
        <v>45340</v>
      </c>
      <c r="B50" s="9" t="s">
        <v>7</v>
      </c>
      <c r="C50" s="9" t="str">
        <f t="shared" si="0"/>
        <v>Campaign 49</v>
      </c>
      <c r="D50" s="9">
        <v>126</v>
      </c>
      <c r="E50" s="9">
        <v>12</v>
      </c>
      <c r="F50" s="9">
        <v>1608</v>
      </c>
      <c r="G50" s="9">
        <v>0.1</v>
      </c>
      <c r="H50" s="9">
        <v>600</v>
      </c>
      <c r="I50" s="10">
        <f t="shared" si="1"/>
        <v>12.761904761904763</v>
      </c>
      <c r="J50" s="10">
        <f t="shared" si="2"/>
        <v>134</v>
      </c>
      <c r="K50" s="11">
        <f t="shared" si="3"/>
        <v>-0.62686567164179108</v>
      </c>
    </row>
    <row r="51" spans="1:11" x14ac:dyDescent="0.3">
      <c r="A51" s="8">
        <v>45341</v>
      </c>
      <c r="B51" s="9" t="s">
        <v>7</v>
      </c>
      <c r="C51" s="9" t="str">
        <f t="shared" si="0"/>
        <v>Campaign 50</v>
      </c>
      <c r="D51" s="9">
        <v>102</v>
      </c>
      <c r="E51" s="9">
        <v>35</v>
      </c>
      <c r="F51" s="9">
        <v>1610</v>
      </c>
      <c r="G51" s="9">
        <v>0.34</v>
      </c>
      <c r="H51" s="9">
        <v>1750</v>
      </c>
      <c r="I51" s="10">
        <f t="shared" si="1"/>
        <v>15.784313725490197</v>
      </c>
      <c r="J51" s="10">
        <f t="shared" si="2"/>
        <v>46</v>
      </c>
      <c r="K51" s="11">
        <f t="shared" si="3"/>
        <v>8.6956521739130432E-2</v>
      </c>
    </row>
    <row r="52" spans="1:11" x14ac:dyDescent="0.3">
      <c r="A52" s="8">
        <v>45342</v>
      </c>
      <c r="B52" s="9" t="s">
        <v>7</v>
      </c>
      <c r="C52" s="9" t="str">
        <f t="shared" si="0"/>
        <v>Campaign 51</v>
      </c>
      <c r="D52" s="9">
        <v>30</v>
      </c>
      <c r="E52" s="9">
        <v>16</v>
      </c>
      <c r="F52" s="9">
        <v>382</v>
      </c>
      <c r="G52" s="9">
        <v>0.53</v>
      </c>
      <c r="H52" s="9">
        <v>800</v>
      </c>
      <c r="I52" s="10">
        <f t="shared" si="1"/>
        <v>12.733333333333333</v>
      </c>
      <c r="J52" s="10">
        <f t="shared" si="2"/>
        <v>23.875</v>
      </c>
      <c r="K52" s="11">
        <f t="shared" si="3"/>
        <v>1.0942408376963351</v>
      </c>
    </row>
    <row r="53" spans="1:11" x14ac:dyDescent="0.3">
      <c r="A53" s="8">
        <v>45343</v>
      </c>
      <c r="B53" s="9" t="s">
        <v>7</v>
      </c>
      <c r="C53" s="9" t="str">
        <f t="shared" si="0"/>
        <v>Campaign 52</v>
      </c>
      <c r="D53" s="9">
        <v>82</v>
      </c>
      <c r="E53" s="9">
        <v>6</v>
      </c>
      <c r="F53" s="9">
        <v>1645</v>
      </c>
      <c r="G53" s="9">
        <v>7.0000000000000007E-2</v>
      </c>
      <c r="H53" s="9">
        <v>300</v>
      </c>
      <c r="I53" s="10">
        <f t="shared" si="1"/>
        <v>20.060975609756099</v>
      </c>
      <c r="J53" s="10">
        <f t="shared" si="2"/>
        <v>274.16666666666669</v>
      </c>
      <c r="K53" s="11">
        <f t="shared" si="3"/>
        <v>-0.81762917933130697</v>
      </c>
    </row>
    <row r="54" spans="1:11" x14ac:dyDescent="0.3">
      <c r="A54" s="8">
        <v>45344</v>
      </c>
      <c r="B54" s="9" t="s">
        <v>7</v>
      </c>
      <c r="C54" s="9" t="str">
        <f t="shared" si="0"/>
        <v>Campaign 53</v>
      </c>
      <c r="D54" s="9">
        <v>120</v>
      </c>
      <c r="E54" s="9">
        <v>6</v>
      </c>
      <c r="F54" s="9">
        <v>1354</v>
      </c>
      <c r="G54" s="9">
        <v>0.05</v>
      </c>
      <c r="H54" s="9">
        <v>300</v>
      </c>
      <c r="I54" s="10">
        <f t="shared" si="1"/>
        <v>11.283333333333333</v>
      </c>
      <c r="J54" s="10">
        <f t="shared" si="2"/>
        <v>225.66666666666666</v>
      </c>
      <c r="K54" s="11">
        <f t="shared" si="3"/>
        <v>-0.7784342688330872</v>
      </c>
    </row>
    <row r="55" spans="1:11" x14ac:dyDescent="0.3">
      <c r="A55" s="8">
        <v>45345</v>
      </c>
      <c r="B55" s="9" t="s">
        <v>7</v>
      </c>
      <c r="C55" s="9" t="str">
        <f t="shared" si="0"/>
        <v>Campaign 54</v>
      </c>
      <c r="D55" s="9">
        <v>57</v>
      </c>
      <c r="E55" s="9">
        <v>45</v>
      </c>
      <c r="F55" s="9">
        <v>1420</v>
      </c>
      <c r="G55" s="9">
        <v>0.79</v>
      </c>
      <c r="H55" s="9">
        <v>2250</v>
      </c>
      <c r="I55" s="10">
        <f t="shared" si="1"/>
        <v>24.912280701754387</v>
      </c>
      <c r="J55" s="10">
        <f t="shared" si="2"/>
        <v>31.555555555555557</v>
      </c>
      <c r="K55" s="11">
        <f t="shared" si="3"/>
        <v>0.58450704225352113</v>
      </c>
    </row>
    <row r="56" spans="1:11" x14ac:dyDescent="0.3">
      <c r="A56" s="8">
        <v>45346</v>
      </c>
      <c r="B56" s="9" t="s">
        <v>7</v>
      </c>
      <c r="C56" s="9" t="str">
        <f t="shared" si="0"/>
        <v>Campaign 55</v>
      </c>
      <c r="D56" s="9">
        <v>58</v>
      </c>
      <c r="E56" s="9">
        <v>7</v>
      </c>
      <c r="F56" s="9">
        <v>669</v>
      </c>
      <c r="G56" s="9">
        <v>0.12</v>
      </c>
      <c r="H56" s="9">
        <v>350</v>
      </c>
      <c r="I56" s="10">
        <f t="shared" si="1"/>
        <v>11.53448275862069</v>
      </c>
      <c r="J56" s="10">
        <f t="shared" si="2"/>
        <v>95.571428571428569</v>
      </c>
      <c r="K56" s="11">
        <f t="shared" si="3"/>
        <v>-0.47683109118086697</v>
      </c>
    </row>
    <row r="57" spans="1:11" x14ac:dyDescent="0.3">
      <c r="A57" s="8">
        <v>45347</v>
      </c>
      <c r="B57" s="9" t="s">
        <v>7</v>
      </c>
      <c r="C57" s="9" t="str">
        <f t="shared" si="0"/>
        <v>Campaign 56</v>
      </c>
      <c r="D57" s="9">
        <v>123</v>
      </c>
      <c r="E57" s="9">
        <v>43</v>
      </c>
      <c r="F57" s="9">
        <v>1006</v>
      </c>
      <c r="G57" s="9">
        <v>0.35</v>
      </c>
      <c r="H57" s="9">
        <v>2150</v>
      </c>
      <c r="I57" s="10">
        <f t="shared" si="1"/>
        <v>8.1788617886178869</v>
      </c>
      <c r="J57" s="10">
        <f t="shared" si="2"/>
        <v>23.395348837209301</v>
      </c>
      <c r="K57" s="11">
        <f t="shared" si="3"/>
        <v>1.1371769383697814</v>
      </c>
    </row>
    <row r="58" spans="1:11" x14ac:dyDescent="0.3">
      <c r="A58" s="8">
        <v>45348</v>
      </c>
      <c r="B58" s="9" t="s">
        <v>7</v>
      </c>
      <c r="C58" s="9" t="str">
        <f t="shared" si="0"/>
        <v>Campaign 57</v>
      </c>
      <c r="D58" s="9">
        <v>71</v>
      </c>
      <c r="E58" s="9">
        <v>34</v>
      </c>
      <c r="F58" s="9">
        <v>1782</v>
      </c>
      <c r="G58" s="9">
        <v>0.48</v>
      </c>
      <c r="H58" s="9">
        <v>1700</v>
      </c>
      <c r="I58" s="10">
        <f t="shared" si="1"/>
        <v>25.098591549295776</v>
      </c>
      <c r="J58" s="10">
        <f t="shared" si="2"/>
        <v>52.411764705882355</v>
      </c>
      <c r="K58" s="11">
        <f t="shared" si="3"/>
        <v>-4.6015712682379348E-2</v>
      </c>
    </row>
    <row r="59" spans="1:11" x14ac:dyDescent="0.3">
      <c r="A59" s="8">
        <v>45349</v>
      </c>
      <c r="B59" s="9" t="s">
        <v>7</v>
      </c>
      <c r="C59" s="9" t="str">
        <f t="shared" si="0"/>
        <v>Campaign 58</v>
      </c>
      <c r="D59" s="9">
        <v>137</v>
      </c>
      <c r="E59" s="9">
        <v>14</v>
      </c>
      <c r="F59" s="9">
        <v>276</v>
      </c>
      <c r="G59" s="9">
        <v>0.1</v>
      </c>
      <c r="H59" s="9">
        <v>700</v>
      </c>
      <c r="I59" s="10">
        <f t="shared" si="1"/>
        <v>2.0145985401459856</v>
      </c>
      <c r="J59" s="10">
        <f t="shared" si="2"/>
        <v>19.714285714285715</v>
      </c>
      <c r="K59" s="11">
        <f t="shared" si="3"/>
        <v>1.536231884057971</v>
      </c>
    </row>
    <row r="60" spans="1:11" x14ac:dyDescent="0.3">
      <c r="A60" s="8">
        <v>45350</v>
      </c>
      <c r="B60" s="9" t="s">
        <v>7</v>
      </c>
      <c r="C60" s="9" t="str">
        <f t="shared" si="0"/>
        <v>Campaign 59</v>
      </c>
      <c r="D60" s="9">
        <v>91</v>
      </c>
      <c r="E60" s="9">
        <v>13</v>
      </c>
      <c r="F60" s="9">
        <v>1822</v>
      </c>
      <c r="G60" s="9">
        <v>0.14000000000000001</v>
      </c>
      <c r="H60" s="9">
        <v>650</v>
      </c>
      <c r="I60" s="10">
        <f t="shared" si="1"/>
        <v>20.021978021978022</v>
      </c>
      <c r="J60" s="10">
        <f t="shared" si="2"/>
        <v>140.15384615384616</v>
      </c>
      <c r="K60" s="11">
        <f t="shared" si="3"/>
        <v>-0.64324917672886939</v>
      </c>
    </row>
    <row r="61" spans="1:11" x14ac:dyDescent="0.3">
      <c r="A61" s="8">
        <v>45351</v>
      </c>
      <c r="B61" s="9" t="s">
        <v>7</v>
      </c>
      <c r="C61" s="9" t="str">
        <f t="shared" si="0"/>
        <v>Campaign 60</v>
      </c>
      <c r="D61" s="9">
        <v>43</v>
      </c>
      <c r="E61" s="9">
        <v>49</v>
      </c>
      <c r="F61" s="9">
        <v>1936</v>
      </c>
      <c r="G61" s="9">
        <v>1.1399999999999999</v>
      </c>
      <c r="H61" s="9">
        <v>2450</v>
      </c>
      <c r="I61" s="10">
        <f t="shared" si="1"/>
        <v>45.02325581395349</v>
      </c>
      <c r="J61" s="10">
        <f t="shared" si="2"/>
        <v>39.510204081632651</v>
      </c>
      <c r="K61" s="11">
        <f t="shared" si="3"/>
        <v>0.26549586776859502</v>
      </c>
    </row>
    <row r="62" spans="1:11" x14ac:dyDescent="0.3">
      <c r="A62" s="8">
        <v>45352</v>
      </c>
      <c r="B62" s="9" t="s">
        <v>7</v>
      </c>
      <c r="C62" s="9" t="str">
        <f t="shared" si="0"/>
        <v>Campaign 61</v>
      </c>
      <c r="D62" s="9">
        <v>123</v>
      </c>
      <c r="E62" s="9">
        <v>10</v>
      </c>
      <c r="F62" s="9">
        <v>1933</v>
      </c>
      <c r="G62" s="9">
        <v>0.08</v>
      </c>
      <c r="H62" s="9">
        <v>500</v>
      </c>
      <c r="I62" s="10">
        <f t="shared" si="1"/>
        <v>15.715447154471544</v>
      </c>
      <c r="J62" s="10">
        <f t="shared" si="2"/>
        <v>193.3</v>
      </c>
      <c r="K62" s="11">
        <f t="shared" si="3"/>
        <v>-0.7413347128815313</v>
      </c>
    </row>
    <row r="63" spans="1:11" x14ac:dyDescent="0.3">
      <c r="A63" s="8">
        <v>45353</v>
      </c>
      <c r="B63" s="9" t="s">
        <v>7</v>
      </c>
      <c r="C63" s="9" t="str">
        <f t="shared" si="0"/>
        <v>Campaign 62</v>
      </c>
      <c r="D63" s="9">
        <v>125</v>
      </c>
      <c r="E63" s="9">
        <v>33</v>
      </c>
      <c r="F63" s="9">
        <v>1061</v>
      </c>
      <c r="G63" s="9">
        <v>0.26</v>
      </c>
      <c r="H63" s="9">
        <v>1650</v>
      </c>
      <c r="I63" s="10">
        <f t="shared" si="1"/>
        <v>8.4879999999999995</v>
      </c>
      <c r="J63" s="10">
        <f t="shared" si="2"/>
        <v>32.151515151515149</v>
      </c>
      <c r="K63" s="11">
        <f t="shared" si="3"/>
        <v>0.55513666352497648</v>
      </c>
    </row>
    <row r="64" spans="1:11" x14ac:dyDescent="0.3">
      <c r="A64" s="8">
        <v>45354</v>
      </c>
      <c r="B64" s="9" t="s">
        <v>7</v>
      </c>
      <c r="C64" s="9" t="str">
        <f t="shared" si="0"/>
        <v>Campaign 63</v>
      </c>
      <c r="D64" s="9">
        <v>102</v>
      </c>
      <c r="E64" s="9">
        <v>19</v>
      </c>
      <c r="F64" s="9">
        <v>332</v>
      </c>
      <c r="G64" s="9">
        <v>0.19</v>
      </c>
      <c r="H64" s="9">
        <v>950</v>
      </c>
      <c r="I64" s="10">
        <f t="shared" si="1"/>
        <v>3.2549019607843137</v>
      </c>
      <c r="J64" s="10">
        <f t="shared" si="2"/>
        <v>17.473684210526315</v>
      </c>
      <c r="K64" s="11">
        <f t="shared" si="3"/>
        <v>1.8614457831325302</v>
      </c>
    </row>
    <row r="65" spans="1:11" x14ac:dyDescent="0.3">
      <c r="A65" s="8">
        <v>45355</v>
      </c>
      <c r="B65" s="9" t="s">
        <v>7</v>
      </c>
      <c r="C65" s="9" t="str">
        <f t="shared" si="0"/>
        <v>Campaign 64</v>
      </c>
      <c r="D65" s="9">
        <v>33</v>
      </c>
      <c r="E65" s="9">
        <v>18</v>
      </c>
      <c r="F65" s="9">
        <v>944</v>
      </c>
      <c r="G65" s="9">
        <v>0.55000000000000004</v>
      </c>
      <c r="H65" s="9">
        <v>900</v>
      </c>
      <c r="I65" s="10">
        <f t="shared" si="1"/>
        <v>28.606060606060606</v>
      </c>
      <c r="J65" s="10">
        <f t="shared" si="2"/>
        <v>52.444444444444443</v>
      </c>
      <c r="K65" s="11">
        <f t="shared" si="3"/>
        <v>-4.6610169491525424E-2</v>
      </c>
    </row>
    <row r="66" spans="1:11" x14ac:dyDescent="0.3">
      <c r="A66" s="8">
        <v>45356</v>
      </c>
      <c r="B66" s="9" t="s">
        <v>7</v>
      </c>
      <c r="C66" s="9" t="str">
        <f t="shared" si="0"/>
        <v>Campaign 65</v>
      </c>
      <c r="D66" s="9">
        <v>112</v>
      </c>
      <c r="E66" s="9">
        <v>27</v>
      </c>
      <c r="F66" s="9">
        <v>394</v>
      </c>
      <c r="G66" s="9">
        <v>0.24</v>
      </c>
      <c r="H66" s="9">
        <v>1350</v>
      </c>
      <c r="I66" s="10">
        <f t="shared" si="1"/>
        <v>3.5178571428571428</v>
      </c>
      <c r="J66" s="10">
        <f t="shared" si="2"/>
        <v>14.592592592592593</v>
      </c>
      <c r="K66" s="11">
        <f t="shared" si="3"/>
        <v>2.4263959390862944</v>
      </c>
    </row>
    <row r="67" spans="1:11" x14ac:dyDescent="0.3">
      <c r="A67" s="8">
        <v>45357</v>
      </c>
      <c r="B67" s="9" t="s">
        <v>7</v>
      </c>
      <c r="C67" s="9" t="str">
        <f t="shared" ref="C67:C130" si="4" xml:space="preserve"> "Campaign " &amp; ROW()-1</f>
        <v>Campaign 66</v>
      </c>
      <c r="D67" s="9">
        <v>20</v>
      </c>
      <c r="E67" s="9">
        <v>30</v>
      </c>
      <c r="F67" s="9">
        <v>714</v>
      </c>
      <c r="G67" s="9">
        <v>1.5</v>
      </c>
      <c r="H67" s="9">
        <v>1500</v>
      </c>
      <c r="I67" s="10">
        <f t="shared" ref="I67:I130" si="5" xml:space="preserve"> F67 / D67</f>
        <v>35.700000000000003</v>
      </c>
      <c r="J67" s="10">
        <f t="shared" ref="J67:J130" si="6" xml:space="preserve"> F67 / E67</f>
        <v>23.8</v>
      </c>
      <c r="K67" s="11">
        <f t="shared" ref="K67:K130" si="7" xml:space="preserve"> (H67 - F67) / F67</f>
        <v>1.1008403361344539</v>
      </c>
    </row>
    <row r="68" spans="1:11" x14ac:dyDescent="0.3">
      <c r="A68" s="8">
        <v>45358</v>
      </c>
      <c r="B68" s="9" t="s">
        <v>7</v>
      </c>
      <c r="C68" s="9" t="str">
        <f t="shared" si="4"/>
        <v>Campaign 67</v>
      </c>
      <c r="D68" s="9">
        <v>46</v>
      </c>
      <c r="E68" s="9">
        <v>43</v>
      </c>
      <c r="F68" s="9">
        <v>1108</v>
      </c>
      <c r="G68" s="9">
        <v>0.93</v>
      </c>
      <c r="H68" s="9">
        <v>2150</v>
      </c>
      <c r="I68" s="10">
        <f t="shared" si="5"/>
        <v>24.086956521739129</v>
      </c>
      <c r="J68" s="10">
        <f t="shared" si="6"/>
        <v>25.767441860465116</v>
      </c>
      <c r="K68" s="11">
        <f t="shared" si="7"/>
        <v>0.94043321299638993</v>
      </c>
    </row>
    <row r="69" spans="1:11" x14ac:dyDescent="0.3">
      <c r="A69" s="8">
        <v>45359</v>
      </c>
      <c r="B69" s="9" t="s">
        <v>7</v>
      </c>
      <c r="C69" s="9" t="str">
        <f t="shared" si="4"/>
        <v>Campaign 68</v>
      </c>
      <c r="D69" s="9">
        <v>142</v>
      </c>
      <c r="E69" s="9">
        <v>47</v>
      </c>
      <c r="F69" s="9">
        <v>1212</v>
      </c>
      <c r="G69" s="9">
        <v>0.33</v>
      </c>
      <c r="H69" s="9">
        <v>2350</v>
      </c>
      <c r="I69" s="10">
        <f t="shared" si="5"/>
        <v>8.535211267605634</v>
      </c>
      <c r="J69" s="10">
        <f t="shared" si="6"/>
        <v>25.787234042553191</v>
      </c>
      <c r="K69" s="11">
        <f t="shared" si="7"/>
        <v>0.93894389438943893</v>
      </c>
    </row>
    <row r="70" spans="1:11" x14ac:dyDescent="0.3">
      <c r="A70" s="8">
        <v>45360</v>
      </c>
      <c r="B70" s="9" t="s">
        <v>7</v>
      </c>
      <c r="C70" s="9" t="str">
        <f t="shared" si="4"/>
        <v>Campaign 69</v>
      </c>
      <c r="D70" s="9">
        <v>116</v>
      </c>
      <c r="E70" s="9">
        <v>40</v>
      </c>
      <c r="F70" s="9">
        <v>1427</v>
      </c>
      <c r="G70" s="9">
        <v>0.34</v>
      </c>
      <c r="H70" s="9">
        <v>2000</v>
      </c>
      <c r="I70" s="10">
        <f t="shared" si="5"/>
        <v>12.301724137931034</v>
      </c>
      <c r="J70" s="10">
        <f t="shared" si="6"/>
        <v>35.674999999999997</v>
      </c>
      <c r="K70" s="11">
        <f t="shared" si="7"/>
        <v>0.40154169586545202</v>
      </c>
    </row>
    <row r="71" spans="1:11" x14ac:dyDescent="0.3">
      <c r="A71" s="8">
        <v>45361</v>
      </c>
      <c r="B71" s="9" t="s">
        <v>7</v>
      </c>
      <c r="C71" s="9" t="str">
        <f t="shared" si="4"/>
        <v>Campaign 70</v>
      </c>
      <c r="D71" s="9">
        <v>104</v>
      </c>
      <c r="E71" s="9">
        <v>13</v>
      </c>
      <c r="F71" s="9">
        <v>1858</v>
      </c>
      <c r="G71" s="9">
        <v>0.12</v>
      </c>
      <c r="H71" s="9">
        <v>650</v>
      </c>
      <c r="I71" s="10">
        <f t="shared" si="5"/>
        <v>17.865384615384617</v>
      </c>
      <c r="J71" s="10">
        <f t="shared" si="6"/>
        <v>142.92307692307693</v>
      </c>
      <c r="K71" s="11">
        <f t="shared" si="7"/>
        <v>-0.65016146393972007</v>
      </c>
    </row>
    <row r="72" spans="1:11" x14ac:dyDescent="0.3">
      <c r="A72" s="8">
        <v>45362</v>
      </c>
      <c r="B72" s="9" t="s">
        <v>7</v>
      </c>
      <c r="C72" s="9" t="str">
        <f t="shared" si="4"/>
        <v>Campaign 71</v>
      </c>
      <c r="D72" s="9">
        <v>141</v>
      </c>
      <c r="E72" s="9">
        <v>36</v>
      </c>
      <c r="F72" s="9">
        <v>727</v>
      </c>
      <c r="G72" s="9">
        <v>0.26</v>
      </c>
      <c r="H72" s="9">
        <v>1800</v>
      </c>
      <c r="I72" s="10">
        <f t="shared" si="5"/>
        <v>5.1560283687943258</v>
      </c>
      <c r="J72" s="10">
        <f t="shared" si="6"/>
        <v>20.194444444444443</v>
      </c>
      <c r="K72" s="11">
        <f t="shared" si="7"/>
        <v>1.4759284731774416</v>
      </c>
    </row>
    <row r="73" spans="1:11" x14ac:dyDescent="0.3">
      <c r="A73" s="8">
        <v>45363</v>
      </c>
      <c r="B73" s="9" t="s">
        <v>7</v>
      </c>
      <c r="C73" s="9" t="str">
        <f t="shared" si="4"/>
        <v>Campaign 72</v>
      </c>
      <c r="D73" s="9">
        <v>113</v>
      </c>
      <c r="E73" s="9">
        <v>21</v>
      </c>
      <c r="F73" s="9">
        <v>1236</v>
      </c>
      <c r="G73" s="9">
        <v>0.19</v>
      </c>
      <c r="H73" s="9">
        <v>1050</v>
      </c>
      <c r="I73" s="10">
        <f t="shared" si="5"/>
        <v>10.938053097345133</v>
      </c>
      <c r="J73" s="10">
        <f t="shared" si="6"/>
        <v>58.857142857142854</v>
      </c>
      <c r="K73" s="11">
        <f t="shared" si="7"/>
        <v>-0.15048543689320387</v>
      </c>
    </row>
    <row r="74" spans="1:11" x14ac:dyDescent="0.3">
      <c r="A74" s="8">
        <v>45364</v>
      </c>
      <c r="B74" s="9" t="s">
        <v>7</v>
      </c>
      <c r="C74" s="9" t="str">
        <f t="shared" si="4"/>
        <v>Campaign 73</v>
      </c>
      <c r="D74" s="9">
        <v>131</v>
      </c>
      <c r="E74" s="9">
        <v>17</v>
      </c>
      <c r="F74" s="9">
        <v>559</v>
      </c>
      <c r="G74" s="9">
        <v>0.13</v>
      </c>
      <c r="H74" s="9">
        <v>850</v>
      </c>
      <c r="I74" s="10">
        <f t="shared" si="5"/>
        <v>4.2671755725190836</v>
      </c>
      <c r="J74" s="10">
        <f t="shared" si="6"/>
        <v>32.882352941176471</v>
      </c>
      <c r="K74" s="11">
        <f t="shared" si="7"/>
        <v>0.52057245080500891</v>
      </c>
    </row>
    <row r="75" spans="1:11" x14ac:dyDescent="0.3">
      <c r="A75" s="8">
        <v>45365</v>
      </c>
      <c r="B75" s="9" t="s">
        <v>7</v>
      </c>
      <c r="C75" s="9" t="str">
        <f t="shared" si="4"/>
        <v>Campaign 74</v>
      </c>
      <c r="D75" s="9">
        <v>135</v>
      </c>
      <c r="E75" s="9">
        <v>39</v>
      </c>
      <c r="F75" s="9">
        <v>524</v>
      </c>
      <c r="G75" s="9">
        <v>0.28999999999999998</v>
      </c>
      <c r="H75" s="9">
        <v>1950</v>
      </c>
      <c r="I75" s="10">
        <f t="shared" si="5"/>
        <v>3.8814814814814813</v>
      </c>
      <c r="J75" s="10">
        <f t="shared" si="6"/>
        <v>13.435897435897436</v>
      </c>
      <c r="K75" s="11">
        <f t="shared" si="7"/>
        <v>2.7213740458015265</v>
      </c>
    </row>
    <row r="76" spans="1:11" x14ac:dyDescent="0.3">
      <c r="A76" s="8">
        <v>45366</v>
      </c>
      <c r="B76" s="9" t="s">
        <v>7</v>
      </c>
      <c r="C76" s="9" t="str">
        <f t="shared" si="4"/>
        <v>Campaign 75</v>
      </c>
      <c r="D76" s="9">
        <v>35</v>
      </c>
      <c r="E76" s="9">
        <v>7</v>
      </c>
      <c r="F76" s="9">
        <v>1426</v>
      </c>
      <c r="G76" s="9">
        <v>0.2</v>
      </c>
      <c r="H76" s="9">
        <v>350</v>
      </c>
      <c r="I76" s="10">
        <f t="shared" si="5"/>
        <v>40.74285714285714</v>
      </c>
      <c r="J76" s="10">
        <f t="shared" si="6"/>
        <v>203.71428571428572</v>
      </c>
      <c r="K76" s="11">
        <f t="shared" si="7"/>
        <v>-0.75455820476858348</v>
      </c>
    </row>
    <row r="77" spans="1:11" x14ac:dyDescent="0.3">
      <c r="A77" s="8">
        <v>45367</v>
      </c>
      <c r="B77" s="9" t="s">
        <v>7</v>
      </c>
      <c r="C77" s="9" t="str">
        <f t="shared" si="4"/>
        <v>Campaign 76</v>
      </c>
      <c r="D77" s="9">
        <v>133</v>
      </c>
      <c r="E77" s="9">
        <v>42</v>
      </c>
      <c r="F77" s="9">
        <v>1454</v>
      </c>
      <c r="G77" s="9">
        <v>0.32</v>
      </c>
      <c r="H77" s="9">
        <v>2100</v>
      </c>
      <c r="I77" s="10">
        <f t="shared" si="5"/>
        <v>10.93233082706767</v>
      </c>
      <c r="J77" s="10">
        <f t="shared" si="6"/>
        <v>34.61904761904762</v>
      </c>
      <c r="K77" s="11">
        <f t="shared" si="7"/>
        <v>0.44429160935350759</v>
      </c>
    </row>
    <row r="78" spans="1:11" x14ac:dyDescent="0.3">
      <c r="A78" s="8">
        <v>45368</v>
      </c>
      <c r="B78" s="9" t="s">
        <v>7</v>
      </c>
      <c r="C78" s="9" t="str">
        <f t="shared" si="4"/>
        <v>Campaign 77</v>
      </c>
      <c r="D78" s="9">
        <v>149</v>
      </c>
      <c r="E78" s="9">
        <v>33</v>
      </c>
      <c r="F78" s="9">
        <v>481</v>
      </c>
      <c r="G78" s="9">
        <v>0.22</v>
      </c>
      <c r="H78" s="9">
        <v>1650</v>
      </c>
      <c r="I78" s="10">
        <f t="shared" si="5"/>
        <v>3.2281879194630871</v>
      </c>
      <c r="J78" s="10">
        <f t="shared" si="6"/>
        <v>14.575757575757576</v>
      </c>
      <c r="K78" s="11">
        <f t="shared" si="7"/>
        <v>2.4303534303534304</v>
      </c>
    </row>
    <row r="79" spans="1:11" x14ac:dyDescent="0.3">
      <c r="A79" s="8">
        <v>45369</v>
      </c>
      <c r="B79" s="9" t="s">
        <v>7</v>
      </c>
      <c r="C79" s="9" t="str">
        <f t="shared" si="4"/>
        <v>Campaign 78</v>
      </c>
      <c r="D79" s="9">
        <v>109</v>
      </c>
      <c r="E79" s="9">
        <v>30</v>
      </c>
      <c r="F79" s="9">
        <v>1012</v>
      </c>
      <c r="G79" s="9">
        <v>0.28000000000000003</v>
      </c>
      <c r="H79" s="9">
        <v>1500</v>
      </c>
      <c r="I79" s="10">
        <f t="shared" si="5"/>
        <v>9.2844036697247709</v>
      </c>
      <c r="J79" s="10">
        <f t="shared" si="6"/>
        <v>33.733333333333334</v>
      </c>
      <c r="K79" s="11">
        <f t="shared" si="7"/>
        <v>0.48221343873517786</v>
      </c>
    </row>
    <row r="80" spans="1:11" x14ac:dyDescent="0.3">
      <c r="A80" s="8">
        <v>45370</v>
      </c>
      <c r="B80" s="9" t="s">
        <v>7</v>
      </c>
      <c r="C80" s="9" t="str">
        <f t="shared" si="4"/>
        <v>Campaign 79</v>
      </c>
      <c r="D80" s="9">
        <v>101</v>
      </c>
      <c r="E80" s="9">
        <v>45</v>
      </c>
      <c r="F80" s="9">
        <v>1280</v>
      </c>
      <c r="G80" s="9">
        <v>0.45</v>
      </c>
      <c r="H80" s="9">
        <v>2250</v>
      </c>
      <c r="I80" s="10">
        <f t="shared" si="5"/>
        <v>12.673267326732674</v>
      </c>
      <c r="J80" s="10">
        <f t="shared" si="6"/>
        <v>28.444444444444443</v>
      </c>
      <c r="K80" s="11">
        <f t="shared" si="7"/>
        <v>0.7578125</v>
      </c>
    </row>
    <row r="81" spans="1:11" x14ac:dyDescent="0.3">
      <c r="A81" s="8">
        <v>45371</v>
      </c>
      <c r="B81" s="9" t="s">
        <v>7</v>
      </c>
      <c r="C81" s="9" t="str">
        <f t="shared" si="4"/>
        <v>Campaign 80</v>
      </c>
      <c r="D81" s="9">
        <v>122</v>
      </c>
      <c r="E81" s="9">
        <v>49</v>
      </c>
      <c r="F81" s="9">
        <v>1320</v>
      </c>
      <c r="G81" s="9">
        <v>0.4</v>
      </c>
      <c r="H81" s="9">
        <v>2450</v>
      </c>
      <c r="I81" s="10">
        <f t="shared" si="5"/>
        <v>10.819672131147541</v>
      </c>
      <c r="J81" s="10">
        <f t="shared" si="6"/>
        <v>26.938775510204081</v>
      </c>
      <c r="K81" s="11">
        <f t="shared" si="7"/>
        <v>0.85606060606060608</v>
      </c>
    </row>
    <row r="82" spans="1:11" x14ac:dyDescent="0.3">
      <c r="A82" s="8">
        <v>45372</v>
      </c>
      <c r="B82" s="9" t="s">
        <v>7</v>
      </c>
      <c r="C82" s="9" t="str">
        <f t="shared" si="4"/>
        <v>Campaign 81</v>
      </c>
      <c r="D82" s="9">
        <v>56</v>
      </c>
      <c r="E82" s="9">
        <v>11</v>
      </c>
      <c r="F82" s="9">
        <v>1822</v>
      </c>
      <c r="G82" s="9">
        <v>0.2</v>
      </c>
      <c r="H82" s="9">
        <v>550</v>
      </c>
      <c r="I82" s="10">
        <f t="shared" si="5"/>
        <v>32.535714285714285</v>
      </c>
      <c r="J82" s="10">
        <f t="shared" si="6"/>
        <v>165.63636363636363</v>
      </c>
      <c r="K82" s="11">
        <f t="shared" si="7"/>
        <v>-0.69813391877058173</v>
      </c>
    </row>
    <row r="83" spans="1:11" x14ac:dyDescent="0.3">
      <c r="A83" s="8">
        <v>45373</v>
      </c>
      <c r="B83" s="9" t="s">
        <v>7</v>
      </c>
      <c r="C83" s="9" t="str">
        <f t="shared" si="4"/>
        <v>Campaign 82</v>
      </c>
      <c r="D83" s="9">
        <v>42</v>
      </c>
      <c r="E83" s="9">
        <v>22</v>
      </c>
      <c r="F83" s="9">
        <v>926</v>
      </c>
      <c r="G83" s="9">
        <v>0.52</v>
      </c>
      <c r="H83" s="9">
        <v>1100</v>
      </c>
      <c r="I83" s="10">
        <f t="shared" si="5"/>
        <v>22.047619047619047</v>
      </c>
      <c r="J83" s="10">
        <f t="shared" si="6"/>
        <v>42.090909090909093</v>
      </c>
      <c r="K83" s="11">
        <f t="shared" si="7"/>
        <v>0.18790496760259179</v>
      </c>
    </row>
    <row r="84" spans="1:11" x14ac:dyDescent="0.3">
      <c r="A84" s="8">
        <v>45374</v>
      </c>
      <c r="B84" s="9" t="s">
        <v>7</v>
      </c>
      <c r="C84" s="9" t="str">
        <f t="shared" si="4"/>
        <v>Campaign 83</v>
      </c>
      <c r="D84" s="9">
        <v>110</v>
      </c>
      <c r="E84" s="9">
        <v>6</v>
      </c>
      <c r="F84" s="9">
        <v>1339</v>
      </c>
      <c r="G84" s="9">
        <v>0.05</v>
      </c>
      <c r="H84" s="9">
        <v>300</v>
      </c>
      <c r="I84" s="10">
        <f t="shared" si="5"/>
        <v>12.172727272727272</v>
      </c>
      <c r="J84" s="10">
        <f t="shared" si="6"/>
        <v>223.16666666666666</v>
      </c>
      <c r="K84" s="11">
        <f t="shared" si="7"/>
        <v>-0.77595220313666913</v>
      </c>
    </row>
    <row r="85" spans="1:11" x14ac:dyDescent="0.3">
      <c r="A85" s="8">
        <v>45375</v>
      </c>
      <c r="B85" s="9" t="s">
        <v>7</v>
      </c>
      <c r="C85" s="9" t="str">
        <f t="shared" si="4"/>
        <v>Campaign 84</v>
      </c>
      <c r="D85" s="9">
        <v>134</v>
      </c>
      <c r="E85" s="9">
        <v>45</v>
      </c>
      <c r="F85" s="9">
        <v>1415</v>
      </c>
      <c r="G85" s="9">
        <v>0.34</v>
      </c>
      <c r="H85" s="9">
        <v>2250</v>
      </c>
      <c r="I85" s="10">
        <f t="shared" si="5"/>
        <v>10.559701492537313</v>
      </c>
      <c r="J85" s="10">
        <f t="shared" si="6"/>
        <v>31.444444444444443</v>
      </c>
      <c r="K85" s="11">
        <f t="shared" si="7"/>
        <v>0.59010600706713778</v>
      </c>
    </row>
    <row r="86" spans="1:11" x14ac:dyDescent="0.3">
      <c r="A86" s="8">
        <v>45376</v>
      </c>
      <c r="B86" s="9" t="s">
        <v>7</v>
      </c>
      <c r="C86" s="9" t="str">
        <f t="shared" si="4"/>
        <v>Campaign 85</v>
      </c>
      <c r="D86" s="9">
        <v>23</v>
      </c>
      <c r="E86" s="9">
        <v>25</v>
      </c>
      <c r="F86" s="9">
        <v>624</v>
      </c>
      <c r="G86" s="9">
        <v>1.0900000000000001</v>
      </c>
      <c r="H86" s="9">
        <v>1250</v>
      </c>
      <c r="I86" s="10">
        <f t="shared" si="5"/>
        <v>27.130434782608695</v>
      </c>
      <c r="J86" s="10">
        <f t="shared" si="6"/>
        <v>24.96</v>
      </c>
      <c r="K86" s="11">
        <f t="shared" si="7"/>
        <v>1.0032051282051282</v>
      </c>
    </row>
    <row r="87" spans="1:11" x14ac:dyDescent="0.3">
      <c r="A87" s="8">
        <v>45377</v>
      </c>
      <c r="B87" s="9" t="s">
        <v>7</v>
      </c>
      <c r="C87" s="9" t="str">
        <f t="shared" si="4"/>
        <v>Campaign 86</v>
      </c>
      <c r="D87" s="9">
        <v>63</v>
      </c>
      <c r="E87" s="9">
        <v>18</v>
      </c>
      <c r="F87" s="9">
        <v>260</v>
      </c>
      <c r="G87" s="9">
        <v>0.28999999999999998</v>
      </c>
      <c r="H87" s="9">
        <v>900</v>
      </c>
      <c r="I87" s="10">
        <f t="shared" si="5"/>
        <v>4.1269841269841274</v>
      </c>
      <c r="J87" s="10">
        <f t="shared" si="6"/>
        <v>14.444444444444445</v>
      </c>
      <c r="K87" s="11">
        <f t="shared" si="7"/>
        <v>2.4615384615384617</v>
      </c>
    </row>
    <row r="88" spans="1:11" x14ac:dyDescent="0.3">
      <c r="A88" s="8">
        <v>45378</v>
      </c>
      <c r="B88" s="9" t="s">
        <v>7</v>
      </c>
      <c r="C88" s="9" t="str">
        <f t="shared" si="4"/>
        <v>Campaign 87</v>
      </c>
      <c r="D88" s="9">
        <v>98</v>
      </c>
      <c r="E88" s="9">
        <v>18</v>
      </c>
      <c r="F88" s="9">
        <v>510</v>
      </c>
      <c r="G88" s="9">
        <v>0.18</v>
      </c>
      <c r="H88" s="9">
        <v>900</v>
      </c>
      <c r="I88" s="10">
        <f t="shared" si="5"/>
        <v>5.204081632653061</v>
      </c>
      <c r="J88" s="10">
        <f t="shared" si="6"/>
        <v>28.333333333333332</v>
      </c>
      <c r="K88" s="11">
        <f t="shared" si="7"/>
        <v>0.76470588235294112</v>
      </c>
    </row>
    <row r="89" spans="1:11" x14ac:dyDescent="0.3">
      <c r="A89" s="8">
        <v>45379</v>
      </c>
      <c r="B89" s="9" t="s">
        <v>7</v>
      </c>
      <c r="C89" s="9" t="str">
        <f t="shared" si="4"/>
        <v>Campaign 88</v>
      </c>
      <c r="D89" s="9">
        <v>113</v>
      </c>
      <c r="E89" s="9">
        <v>27</v>
      </c>
      <c r="F89" s="9">
        <v>1022</v>
      </c>
      <c r="G89" s="9">
        <v>0.24</v>
      </c>
      <c r="H89" s="9">
        <v>1350</v>
      </c>
      <c r="I89" s="10">
        <f t="shared" si="5"/>
        <v>9.0442477876106189</v>
      </c>
      <c r="J89" s="10">
        <f t="shared" si="6"/>
        <v>37.851851851851855</v>
      </c>
      <c r="K89" s="11">
        <f t="shared" si="7"/>
        <v>0.32093933463796476</v>
      </c>
    </row>
    <row r="90" spans="1:11" x14ac:dyDescent="0.3">
      <c r="A90" s="8">
        <v>45380</v>
      </c>
      <c r="B90" s="9" t="s">
        <v>7</v>
      </c>
      <c r="C90" s="9" t="str">
        <f t="shared" si="4"/>
        <v>Campaign 89</v>
      </c>
      <c r="D90" s="9">
        <v>102</v>
      </c>
      <c r="E90" s="9">
        <v>23</v>
      </c>
      <c r="F90" s="9">
        <v>920</v>
      </c>
      <c r="G90" s="9">
        <v>0.23</v>
      </c>
      <c r="H90" s="9">
        <v>1150</v>
      </c>
      <c r="I90" s="10">
        <f t="shared" si="5"/>
        <v>9.0196078431372548</v>
      </c>
      <c r="J90" s="10">
        <f t="shared" si="6"/>
        <v>40</v>
      </c>
      <c r="K90" s="11">
        <f t="shared" si="7"/>
        <v>0.25</v>
      </c>
    </row>
    <row r="91" spans="1:11" x14ac:dyDescent="0.3">
      <c r="A91" s="8">
        <v>45381</v>
      </c>
      <c r="B91" s="9" t="s">
        <v>7</v>
      </c>
      <c r="C91" s="9" t="str">
        <f t="shared" si="4"/>
        <v>Campaign 90</v>
      </c>
      <c r="D91" s="9">
        <v>92</v>
      </c>
      <c r="E91" s="9">
        <v>23</v>
      </c>
      <c r="F91" s="9">
        <v>453</v>
      </c>
      <c r="G91" s="9">
        <v>0.25</v>
      </c>
      <c r="H91" s="9">
        <v>1150</v>
      </c>
      <c r="I91" s="10">
        <f t="shared" si="5"/>
        <v>4.9239130434782608</v>
      </c>
      <c r="J91" s="10">
        <f t="shared" si="6"/>
        <v>19.695652173913043</v>
      </c>
      <c r="K91" s="11">
        <f t="shared" si="7"/>
        <v>1.5386313465783665</v>
      </c>
    </row>
    <row r="92" spans="1:11" x14ac:dyDescent="0.3">
      <c r="A92" s="8">
        <v>45292</v>
      </c>
      <c r="B92" s="9" t="s">
        <v>8</v>
      </c>
      <c r="C92" s="9" t="str">
        <f t="shared" si="4"/>
        <v>Campaign 91</v>
      </c>
      <c r="D92" s="9">
        <v>99</v>
      </c>
      <c r="E92" s="9">
        <v>42</v>
      </c>
      <c r="F92" s="9">
        <v>1314</v>
      </c>
      <c r="G92" s="9">
        <v>0.42</v>
      </c>
      <c r="H92" s="9">
        <v>2100</v>
      </c>
      <c r="I92" s="10">
        <f t="shared" si="5"/>
        <v>13.272727272727273</v>
      </c>
      <c r="J92" s="10">
        <f t="shared" si="6"/>
        <v>31.285714285714285</v>
      </c>
      <c r="K92" s="11">
        <f t="shared" si="7"/>
        <v>0.59817351598173518</v>
      </c>
    </row>
    <row r="93" spans="1:11" x14ac:dyDescent="0.3">
      <c r="A93" s="8">
        <v>45293</v>
      </c>
      <c r="B93" s="9" t="s">
        <v>8</v>
      </c>
      <c r="C93" s="9" t="str">
        <f t="shared" si="4"/>
        <v>Campaign 92</v>
      </c>
      <c r="D93" s="9">
        <v>130</v>
      </c>
      <c r="E93" s="9">
        <v>18</v>
      </c>
      <c r="F93" s="9">
        <v>1440</v>
      </c>
      <c r="G93" s="9">
        <v>0.14000000000000001</v>
      </c>
      <c r="H93" s="9">
        <v>900</v>
      </c>
      <c r="I93" s="10">
        <f t="shared" si="5"/>
        <v>11.076923076923077</v>
      </c>
      <c r="J93" s="10">
        <f t="shared" si="6"/>
        <v>80</v>
      </c>
      <c r="K93" s="11">
        <f t="shared" si="7"/>
        <v>-0.375</v>
      </c>
    </row>
    <row r="94" spans="1:11" x14ac:dyDescent="0.3">
      <c r="A94" s="8">
        <v>45294</v>
      </c>
      <c r="B94" s="9" t="s">
        <v>8</v>
      </c>
      <c r="C94" s="9" t="str">
        <f t="shared" si="4"/>
        <v>Campaign 93</v>
      </c>
      <c r="D94" s="9">
        <v>108</v>
      </c>
      <c r="E94" s="9">
        <v>6</v>
      </c>
      <c r="F94" s="9">
        <v>1746</v>
      </c>
      <c r="G94" s="9">
        <v>0.06</v>
      </c>
      <c r="H94" s="9">
        <v>300</v>
      </c>
      <c r="I94" s="10">
        <f t="shared" si="5"/>
        <v>16.166666666666668</v>
      </c>
      <c r="J94" s="10">
        <f t="shared" si="6"/>
        <v>291</v>
      </c>
      <c r="K94" s="11">
        <f t="shared" si="7"/>
        <v>-0.82817869415807566</v>
      </c>
    </row>
    <row r="95" spans="1:11" x14ac:dyDescent="0.3">
      <c r="A95" s="8">
        <v>45295</v>
      </c>
      <c r="B95" s="9" t="s">
        <v>8</v>
      </c>
      <c r="C95" s="9" t="str">
        <f t="shared" si="4"/>
        <v>Campaign 94</v>
      </c>
      <c r="D95" s="9">
        <v>133</v>
      </c>
      <c r="E95" s="9">
        <v>19</v>
      </c>
      <c r="F95" s="9">
        <v>1993</v>
      </c>
      <c r="G95" s="9">
        <v>0.14000000000000001</v>
      </c>
      <c r="H95" s="9">
        <v>950</v>
      </c>
      <c r="I95" s="10">
        <f t="shared" si="5"/>
        <v>14.984962406015038</v>
      </c>
      <c r="J95" s="10">
        <f t="shared" si="6"/>
        <v>104.89473684210526</v>
      </c>
      <c r="K95" s="11">
        <f t="shared" si="7"/>
        <v>-0.52333166081284499</v>
      </c>
    </row>
    <row r="96" spans="1:11" x14ac:dyDescent="0.3">
      <c r="A96" s="8">
        <v>45296</v>
      </c>
      <c r="B96" s="9" t="s">
        <v>8</v>
      </c>
      <c r="C96" s="9" t="str">
        <f t="shared" si="4"/>
        <v>Campaign 95</v>
      </c>
      <c r="D96" s="9">
        <v>142</v>
      </c>
      <c r="E96" s="9">
        <v>13</v>
      </c>
      <c r="F96" s="9">
        <v>826</v>
      </c>
      <c r="G96" s="9">
        <v>0.09</v>
      </c>
      <c r="H96" s="9">
        <v>650</v>
      </c>
      <c r="I96" s="10">
        <f t="shared" si="5"/>
        <v>5.816901408450704</v>
      </c>
      <c r="J96" s="10">
        <f t="shared" si="6"/>
        <v>63.53846153846154</v>
      </c>
      <c r="K96" s="11">
        <f t="shared" si="7"/>
        <v>-0.21307506053268765</v>
      </c>
    </row>
    <row r="97" spans="1:11" x14ac:dyDescent="0.3">
      <c r="A97" s="8">
        <v>45297</v>
      </c>
      <c r="B97" s="9" t="s">
        <v>8</v>
      </c>
      <c r="C97" s="9" t="str">
        <f t="shared" si="4"/>
        <v>Campaign 96</v>
      </c>
      <c r="D97" s="9">
        <v>121</v>
      </c>
      <c r="E97" s="9">
        <v>48</v>
      </c>
      <c r="F97" s="9">
        <v>1550</v>
      </c>
      <c r="G97" s="9">
        <v>0.4</v>
      </c>
      <c r="H97" s="9">
        <v>2400</v>
      </c>
      <c r="I97" s="10">
        <f t="shared" si="5"/>
        <v>12.809917355371901</v>
      </c>
      <c r="J97" s="10">
        <f t="shared" si="6"/>
        <v>32.291666666666664</v>
      </c>
      <c r="K97" s="11">
        <f t="shared" si="7"/>
        <v>0.54838709677419351</v>
      </c>
    </row>
    <row r="98" spans="1:11" x14ac:dyDescent="0.3">
      <c r="A98" s="8">
        <v>45298</v>
      </c>
      <c r="B98" s="9" t="s">
        <v>8</v>
      </c>
      <c r="C98" s="9" t="str">
        <f t="shared" si="4"/>
        <v>Campaign 97</v>
      </c>
      <c r="D98" s="9">
        <v>98</v>
      </c>
      <c r="E98" s="9">
        <v>7</v>
      </c>
      <c r="F98" s="9">
        <v>313</v>
      </c>
      <c r="G98" s="9">
        <v>7.0000000000000007E-2</v>
      </c>
      <c r="H98" s="9">
        <v>350</v>
      </c>
      <c r="I98" s="10">
        <f t="shared" si="5"/>
        <v>3.193877551020408</v>
      </c>
      <c r="J98" s="10">
        <f t="shared" si="6"/>
        <v>44.714285714285715</v>
      </c>
      <c r="K98" s="11">
        <f t="shared" si="7"/>
        <v>0.1182108626198083</v>
      </c>
    </row>
    <row r="99" spans="1:11" x14ac:dyDescent="0.3">
      <c r="A99" s="8">
        <v>45299</v>
      </c>
      <c r="B99" s="9" t="s">
        <v>8</v>
      </c>
      <c r="C99" s="9" t="str">
        <f t="shared" si="4"/>
        <v>Campaign 98</v>
      </c>
      <c r="D99" s="9">
        <v>73</v>
      </c>
      <c r="E99" s="9">
        <v>8</v>
      </c>
      <c r="F99" s="9">
        <v>354</v>
      </c>
      <c r="G99" s="9">
        <v>0.11</v>
      </c>
      <c r="H99" s="9">
        <v>400</v>
      </c>
      <c r="I99" s="10">
        <f t="shared" si="5"/>
        <v>4.8493150684931505</v>
      </c>
      <c r="J99" s="10">
        <f t="shared" si="6"/>
        <v>44.25</v>
      </c>
      <c r="K99" s="11">
        <f t="shared" si="7"/>
        <v>0.12994350282485875</v>
      </c>
    </row>
    <row r="100" spans="1:11" x14ac:dyDescent="0.3">
      <c r="A100" s="8">
        <v>45300</v>
      </c>
      <c r="B100" s="9" t="s">
        <v>8</v>
      </c>
      <c r="C100" s="9" t="str">
        <f t="shared" si="4"/>
        <v>Campaign 99</v>
      </c>
      <c r="D100" s="9">
        <v>86</v>
      </c>
      <c r="E100" s="9">
        <v>31</v>
      </c>
      <c r="F100" s="9">
        <v>423</v>
      </c>
      <c r="G100" s="9">
        <v>0.36</v>
      </c>
      <c r="H100" s="9">
        <v>1550</v>
      </c>
      <c r="I100" s="10">
        <f t="shared" si="5"/>
        <v>4.9186046511627906</v>
      </c>
      <c r="J100" s="10">
        <f t="shared" si="6"/>
        <v>13.64516129032258</v>
      </c>
      <c r="K100" s="11">
        <f t="shared" si="7"/>
        <v>2.6643026004728134</v>
      </c>
    </row>
    <row r="101" spans="1:11" x14ac:dyDescent="0.3">
      <c r="A101" s="8">
        <v>45301</v>
      </c>
      <c r="B101" s="9" t="s">
        <v>8</v>
      </c>
      <c r="C101" s="9" t="str">
        <f t="shared" si="4"/>
        <v>Campaign 100</v>
      </c>
      <c r="D101" s="9">
        <v>102</v>
      </c>
      <c r="E101" s="9">
        <v>49</v>
      </c>
      <c r="F101" s="9">
        <v>950</v>
      </c>
      <c r="G101" s="9">
        <v>0.48</v>
      </c>
      <c r="H101" s="9">
        <v>2450</v>
      </c>
      <c r="I101" s="10">
        <f t="shared" si="5"/>
        <v>9.3137254901960791</v>
      </c>
      <c r="J101" s="10">
        <f t="shared" si="6"/>
        <v>19.387755102040817</v>
      </c>
      <c r="K101" s="11">
        <f t="shared" si="7"/>
        <v>1.5789473684210527</v>
      </c>
    </row>
    <row r="102" spans="1:11" x14ac:dyDescent="0.3">
      <c r="A102" s="8">
        <v>45302</v>
      </c>
      <c r="B102" s="9" t="s">
        <v>8</v>
      </c>
      <c r="C102" s="9" t="str">
        <f t="shared" si="4"/>
        <v>Campaign 101</v>
      </c>
      <c r="D102" s="9">
        <v>144</v>
      </c>
      <c r="E102" s="9">
        <v>27</v>
      </c>
      <c r="F102" s="9">
        <v>1775</v>
      </c>
      <c r="G102" s="9">
        <v>0.19</v>
      </c>
      <c r="H102" s="9">
        <v>1350</v>
      </c>
      <c r="I102" s="10">
        <f t="shared" si="5"/>
        <v>12.326388888888889</v>
      </c>
      <c r="J102" s="10">
        <f t="shared" si="6"/>
        <v>65.740740740740748</v>
      </c>
      <c r="K102" s="11">
        <f t="shared" si="7"/>
        <v>-0.23943661971830985</v>
      </c>
    </row>
    <row r="103" spans="1:11" x14ac:dyDescent="0.3">
      <c r="A103" s="8">
        <v>45303</v>
      </c>
      <c r="B103" s="9" t="s">
        <v>8</v>
      </c>
      <c r="C103" s="9" t="str">
        <f t="shared" si="4"/>
        <v>Campaign 102</v>
      </c>
      <c r="D103" s="9">
        <v>23</v>
      </c>
      <c r="E103" s="9">
        <v>10</v>
      </c>
      <c r="F103" s="9">
        <v>355</v>
      </c>
      <c r="G103" s="9">
        <v>0.43</v>
      </c>
      <c r="H103" s="9">
        <v>500</v>
      </c>
      <c r="I103" s="10">
        <f t="shared" si="5"/>
        <v>15.434782608695652</v>
      </c>
      <c r="J103" s="10">
        <f t="shared" si="6"/>
        <v>35.5</v>
      </c>
      <c r="K103" s="11">
        <f t="shared" si="7"/>
        <v>0.40845070422535212</v>
      </c>
    </row>
    <row r="104" spans="1:11" x14ac:dyDescent="0.3">
      <c r="A104" s="8">
        <v>45304</v>
      </c>
      <c r="B104" s="9" t="s">
        <v>8</v>
      </c>
      <c r="C104" s="9" t="str">
        <f t="shared" si="4"/>
        <v>Campaign 103</v>
      </c>
      <c r="D104" s="9">
        <v>66</v>
      </c>
      <c r="E104" s="9">
        <v>9</v>
      </c>
      <c r="F104" s="9">
        <v>1424</v>
      </c>
      <c r="G104" s="9">
        <v>0.14000000000000001</v>
      </c>
      <c r="H104" s="9">
        <v>450</v>
      </c>
      <c r="I104" s="10">
        <f t="shared" si="5"/>
        <v>21.575757575757574</v>
      </c>
      <c r="J104" s="10">
        <f t="shared" si="6"/>
        <v>158.22222222222223</v>
      </c>
      <c r="K104" s="11">
        <f t="shared" si="7"/>
        <v>-0.6839887640449438</v>
      </c>
    </row>
    <row r="105" spans="1:11" x14ac:dyDescent="0.3">
      <c r="A105" s="8">
        <v>45305</v>
      </c>
      <c r="B105" s="9" t="s">
        <v>8</v>
      </c>
      <c r="C105" s="9" t="str">
        <f t="shared" si="4"/>
        <v>Campaign 104</v>
      </c>
      <c r="D105" s="9">
        <v>145</v>
      </c>
      <c r="E105" s="9">
        <v>13</v>
      </c>
      <c r="F105" s="9">
        <v>1107</v>
      </c>
      <c r="G105" s="9">
        <v>0.09</v>
      </c>
      <c r="H105" s="9">
        <v>650</v>
      </c>
      <c r="I105" s="10">
        <f t="shared" si="5"/>
        <v>7.63448275862069</v>
      </c>
      <c r="J105" s="10">
        <f t="shared" si="6"/>
        <v>85.15384615384616</v>
      </c>
      <c r="K105" s="11">
        <f t="shared" si="7"/>
        <v>-0.41282746160794942</v>
      </c>
    </row>
    <row r="106" spans="1:11" x14ac:dyDescent="0.3">
      <c r="A106" s="8">
        <v>45306</v>
      </c>
      <c r="B106" s="9" t="s">
        <v>8</v>
      </c>
      <c r="C106" s="9" t="str">
        <f t="shared" si="4"/>
        <v>Campaign 105</v>
      </c>
      <c r="D106" s="9">
        <v>95</v>
      </c>
      <c r="E106" s="9">
        <v>41</v>
      </c>
      <c r="F106" s="9">
        <v>1428</v>
      </c>
      <c r="G106" s="9">
        <v>0.43</v>
      </c>
      <c r="H106" s="9">
        <v>2050</v>
      </c>
      <c r="I106" s="10">
        <f t="shared" si="5"/>
        <v>15.031578947368422</v>
      </c>
      <c r="J106" s="10">
        <f t="shared" si="6"/>
        <v>34.829268292682926</v>
      </c>
      <c r="K106" s="11">
        <f t="shared" si="7"/>
        <v>0.43557422969187676</v>
      </c>
    </row>
    <row r="107" spans="1:11" x14ac:dyDescent="0.3">
      <c r="A107" s="8">
        <v>45307</v>
      </c>
      <c r="B107" s="9" t="s">
        <v>8</v>
      </c>
      <c r="C107" s="9" t="str">
        <f t="shared" si="4"/>
        <v>Campaign 106</v>
      </c>
      <c r="D107" s="9">
        <v>52</v>
      </c>
      <c r="E107" s="9">
        <v>8</v>
      </c>
      <c r="F107" s="9">
        <v>1058</v>
      </c>
      <c r="G107" s="9">
        <v>0.15</v>
      </c>
      <c r="H107" s="9">
        <v>400</v>
      </c>
      <c r="I107" s="10">
        <f t="shared" si="5"/>
        <v>20.346153846153847</v>
      </c>
      <c r="J107" s="10">
        <f t="shared" si="6"/>
        <v>132.25</v>
      </c>
      <c r="K107" s="11">
        <f t="shared" si="7"/>
        <v>-0.62192816635160686</v>
      </c>
    </row>
    <row r="108" spans="1:11" x14ac:dyDescent="0.3">
      <c r="A108" s="8">
        <v>45308</v>
      </c>
      <c r="B108" s="9" t="s">
        <v>8</v>
      </c>
      <c r="C108" s="9" t="str">
        <f t="shared" si="4"/>
        <v>Campaign 107</v>
      </c>
      <c r="D108" s="9">
        <v>44</v>
      </c>
      <c r="E108" s="9">
        <v>43</v>
      </c>
      <c r="F108" s="9">
        <v>142</v>
      </c>
      <c r="G108" s="9">
        <v>0.98</v>
      </c>
      <c r="H108" s="9">
        <v>2150</v>
      </c>
      <c r="I108" s="10">
        <f t="shared" si="5"/>
        <v>3.2272727272727271</v>
      </c>
      <c r="J108" s="10">
        <f t="shared" si="6"/>
        <v>3.3023255813953489</v>
      </c>
      <c r="K108" s="11">
        <f t="shared" si="7"/>
        <v>14.140845070422536</v>
      </c>
    </row>
    <row r="109" spans="1:11" x14ac:dyDescent="0.3">
      <c r="A109" s="8">
        <v>45309</v>
      </c>
      <c r="B109" s="9" t="s">
        <v>8</v>
      </c>
      <c r="C109" s="9" t="str">
        <f t="shared" si="4"/>
        <v>Campaign 108</v>
      </c>
      <c r="D109" s="9">
        <v>56</v>
      </c>
      <c r="E109" s="9">
        <v>18</v>
      </c>
      <c r="F109" s="9">
        <v>487</v>
      </c>
      <c r="G109" s="9">
        <v>0.32</v>
      </c>
      <c r="H109" s="9">
        <v>900</v>
      </c>
      <c r="I109" s="10">
        <f t="shared" si="5"/>
        <v>8.6964285714285712</v>
      </c>
      <c r="J109" s="10">
        <f t="shared" si="6"/>
        <v>27.055555555555557</v>
      </c>
      <c r="K109" s="11">
        <f t="shared" si="7"/>
        <v>0.84804928131416835</v>
      </c>
    </row>
    <row r="110" spans="1:11" x14ac:dyDescent="0.3">
      <c r="A110" s="8">
        <v>45310</v>
      </c>
      <c r="B110" s="9" t="s">
        <v>8</v>
      </c>
      <c r="C110" s="9" t="str">
        <f t="shared" si="4"/>
        <v>Campaign 109</v>
      </c>
      <c r="D110" s="9">
        <v>136</v>
      </c>
      <c r="E110" s="9">
        <v>44</v>
      </c>
      <c r="F110" s="9">
        <v>754</v>
      </c>
      <c r="G110" s="9">
        <v>0.32</v>
      </c>
      <c r="H110" s="9">
        <v>2200</v>
      </c>
      <c r="I110" s="10">
        <f t="shared" si="5"/>
        <v>5.5441176470588234</v>
      </c>
      <c r="J110" s="10">
        <f t="shared" si="6"/>
        <v>17.136363636363637</v>
      </c>
      <c r="K110" s="11">
        <f t="shared" si="7"/>
        <v>1.9177718832891246</v>
      </c>
    </row>
    <row r="111" spans="1:11" x14ac:dyDescent="0.3">
      <c r="A111" s="8">
        <v>45311</v>
      </c>
      <c r="B111" s="9" t="s">
        <v>8</v>
      </c>
      <c r="C111" s="9" t="str">
        <f t="shared" si="4"/>
        <v>Campaign 110</v>
      </c>
      <c r="D111" s="9">
        <v>126</v>
      </c>
      <c r="E111" s="9">
        <v>8</v>
      </c>
      <c r="F111" s="9">
        <v>1543</v>
      </c>
      <c r="G111" s="9">
        <v>0.06</v>
      </c>
      <c r="H111" s="9">
        <v>400</v>
      </c>
      <c r="I111" s="10">
        <f t="shared" si="5"/>
        <v>12.246031746031745</v>
      </c>
      <c r="J111" s="10">
        <f t="shared" si="6"/>
        <v>192.875</v>
      </c>
      <c r="K111" s="11">
        <f t="shared" si="7"/>
        <v>-0.74076474400518466</v>
      </c>
    </row>
    <row r="112" spans="1:11" x14ac:dyDescent="0.3">
      <c r="A112" s="8">
        <v>45312</v>
      </c>
      <c r="B112" s="9" t="s">
        <v>8</v>
      </c>
      <c r="C112" s="9" t="str">
        <f t="shared" si="4"/>
        <v>Campaign 111</v>
      </c>
      <c r="D112" s="9">
        <v>23</v>
      </c>
      <c r="E112" s="9">
        <v>16</v>
      </c>
      <c r="F112" s="9">
        <v>1886</v>
      </c>
      <c r="G112" s="9">
        <v>0.7</v>
      </c>
      <c r="H112" s="9">
        <v>800</v>
      </c>
      <c r="I112" s="10">
        <f t="shared" si="5"/>
        <v>82</v>
      </c>
      <c r="J112" s="10">
        <f t="shared" si="6"/>
        <v>117.875</v>
      </c>
      <c r="K112" s="11">
        <f t="shared" si="7"/>
        <v>-0.57582184517497348</v>
      </c>
    </row>
    <row r="113" spans="1:11" x14ac:dyDescent="0.3">
      <c r="A113" s="8">
        <v>45313</v>
      </c>
      <c r="B113" s="9" t="s">
        <v>8</v>
      </c>
      <c r="C113" s="9" t="str">
        <f t="shared" si="4"/>
        <v>Campaign 112</v>
      </c>
      <c r="D113" s="9">
        <v>73</v>
      </c>
      <c r="E113" s="9">
        <v>39</v>
      </c>
      <c r="F113" s="9">
        <v>457</v>
      </c>
      <c r="G113" s="9">
        <v>0.53</v>
      </c>
      <c r="H113" s="9">
        <v>1950</v>
      </c>
      <c r="I113" s="10">
        <f t="shared" si="5"/>
        <v>6.2602739726027394</v>
      </c>
      <c r="J113" s="10">
        <f t="shared" si="6"/>
        <v>11.717948717948717</v>
      </c>
      <c r="K113" s="11">
        <f t="shared" si="7"/>
        <v>3.2669584245076586</v>
      </c>
    </row>
    <row r="114" spans="1:11" x14ac:dyDescent="0.3">
      <c r="A114" s="8">
        <v>45314</v>
      </c>
      <c r="B114" s="9" t="s">
        <v>8</v>
      </c>
      <c r="C114" s="9" t="str">
        <f t="shared" si="4"/>
        <v>Campaign 113</v>
      </c>
      <c r="D114" s="9">
        <v>129</v>
      </c>
      <c r="E114" s="9">
        <v>30</v>
      </c>
      <c r="F114" s="9">
        <v>1317</v>
      </c>
      <c r="G114" s="9">
        <v>0.23</v>
      </c>
      <c r="H114" s="9">
        <v>1500</v>
      </c>
      <c r="I114" s="10">
        <f t="shared" si="5"/>
        <v>10.209302325581396</v>
      </c>
      <c r="J114" s="10">
        <f t="shared" si="6"/>
        <v>43.9</v>
      </c>
      <c r="K114" s="11">
        <f t="shared" si="7"/>
        <v>0.13895216400911162</v>
      </c>
    </row>
    <row r="115" spans="1:11" x14ac:dyDescent="0.3">
      <c r="A115" s="8">
        <v>45315</v>
      </c>
      <c r="B115" s="9" t="s">
        <v>8</v>
      </c>
      <c r="C115" s="9" t="str">
        <f t="shared" si="4"/>
        <v>Campaign 114</v>
      </c>
      <c r="D115" s="9">
        <v>105</v>
      </c>
      <c r="E115" s="9">
        <v>18</v>
      </c>
      <c r="F115" s="9">
        <v>131</v>
      </c>
      <c r="G115" s="9">
        <v>0.17</v>
      </c>
      <c r="H115" s="9">
        <v>900</v>
      </c>
      <c r="I115" s="10">
        <f t="shared" si="5"/>
        <v>1.2476190476190476</v>
      </c>
      <c r="J115" s="10">
        <f t="shared" si="6"/>
        <v>7.2777777777777777</v>
      </c>
      <c r="K115" s="11">
        <f t="shared" si="7"/>
        <v>5.8702290076335881</v>
      </c>
    </row>
    <row r="116" spans="1:11" x14ac:dyDescent="0.3">
      <c r="A116" s="8">
        <v>45316</v>
      </c>
      <c r="B116" s="9" t="s">
        <v>8</v>
      </c>
      <c r="C116" s="9" t="str">
        <f t="shared" si="4"/>
        <v>Campaign 115</v>
      </c>
      <c r="D116" s="9">
        <v>68</v>
      </c>
      <c r="E116" s="9">
        <v>12</v>
      </c>
      <c r="F116" s="9">
        <v>947</v>
      </c>
      <c r="G116" s="9">
        <v>0.18</v>
      </c>
      <c r="H116" s="9">
        <v>600</v>
      </c>
      <c r="I116" s="10">
        <f t="shared" si="5"/>
        <v>13.926470588235293</v>
      </c>
      <c r="J116" s="10">
        <f t="shared" si="6"/>
        <v>78.916666666666671</v>
      </c>
      <c r="K116" s="11">
        <f t="shared" si="7"/>
        <v>-0.36642027455121434</v>
      </c>
    </row>
    <row r="117" spans="1:11" x14ac:dyDescent="0.3">
      <c r="A117" s="8">
        <v>45317</v>
      </c>
      <c r="B117" s="9" t="s">
        <v>8</v>
      </c>
      <c r="C117" s="9" t="str">
        <f t="shared" si="4"/>
        <v>Campaign 116</v>
      </c>
      <c r="D117" s="9">
        <v>41</v>
      </c>
      <c r="E117" s="9">
        <v>14</v>
      </c>
      <c r="F117" s="9">
        <v>1316</v>
      </c>
      <c r="G117" s="9">
        <v>0.34</v>
      </c>
      <c r="H117" s="9">
        <v>700</v>
      </c>
      <c r="I117" s="10">
        <f t="shared" si="5"/>
        <v>32.097560975609753</v>
      </c>
      <c r="J117" s="10">
        <f t="shared" si="6"/>
        <v>94</v>
      </c>
      <c r="K117" s="11">
        <f t="shared" si="7"/>
        <v>-0.46808510638297873</v>
      </c>
    </row>
    <row r="118" spans="1:11" x14ac:dyDescent="0.3">
      <c r="A118" s="8">
        <v>45318</v>
      </c>
      <c r="B118" s="9" t="s">
        <v>8</v>
      </c>
      <c r="C118" s="9" t="str">
        <f t="shared" si="4"/>
        <v>Campaign 117</v>
      </c>
      <c r="D118" s="9">
        <v>146</v>
      </c>
      <c r="E118" s="9">
        <v>14</v>
      </c>
      <c r="F118" s="9">
        <v>944</v>
      </c>
      <c r="G118" s="9">
        <v>0.1</v>
      </c>
      <c r="H118" s="9">
        <v>700</v>
      </c>
      <c r="I118" s="10">
        <f t="shared" si="5"/>
        <v>6.4657534246575343</v>
      </c>
      <c r="J118" s="10">
        <f t="shared" si="6"/>
        <v>67.428571428571431</v>
      </c>
      <c r="K118" s="11">
        <f t="shared" si="7"/>
        <v>-0.25847457627118642</v>
      </c>
    </row>
    <row r="119" spans="1:11" x14ac:dyDescent="0.3">
      <c r="A119" s="8">
        <v>45319</v>
      </c>
      <c r="B119" s="9" t="s">
        <v>8</v>
      </c>
      <c r="C119" s="9" t="str">
        <f t="shared" si="4"/>
        <v>Campaign 118</v>
      </c>
      <c r="D119" s="9">
        <v>49</v>
      </c>
      <c r="E119" s="9">
        <v>40</v>
      </c>
      <c r="F119" s="9">
        <v>991</v>
      </c>
      <c r="G119" s="9">
        <v>0.82</v>
      </c>
      <c r="H119" s="9">
        <v>2000</v>
      </c>
      <c r="I119" s="10">
        <f t="shared" si="5"/>
        <v>20.224489795918366</v>
      </c>
      <c r="J119" s="10">
        <f t="shared" si="6"/>
        <v>24.774999999999999</v>
      </c>
      <c r="K119" s="11">
        <f t="shared" si="7"/>
        <v>1.0181634712411705</v>
      </c>
    </row>
    <row r="120" spans="1:11" x14ac:dyDescent="0.3">
      <c r="A120" s="8">
        <v>45320</v>
      </c>
      <c r="B120" s="9" t="s">
        <v>8</v>
      </c>
      <c r="C120" s="9" t="str">
        <f t="shared" si="4"/>
        <v>Campaign 119</v>
      </c>
      <c r="D120" s="9">
        <v>111</v>
      </c>
      <c r="E120" s="9">
        <v>21</v>
      </c>
      <c r="F120" s="9">
        <v>538</v>
      </c>
      <c r="G120" s="9">
        <v>0.19</v>
      </c>
      <c r="H120" s="9">
        <v>1050</v>
      </c>
      <c r="I120" s="10">
        <f t="shared" si="5"/>
        <v>4.8468468468468471</v>
      </c>
      <c r="J120" s="10">
        <f t="shared" si="6"/>
        <v>25.61904761904762</v>
      </c>
      <c r="K120" s="11">
        <f t="shared" si="7"/>
        <v>0.95167286245353155</v>
      </c>
    </row>
    <row r="121" spans="1:11" x14ac:dyDescent="0.3">
      <c r="A121" s="8">
        <v>45321</v>
      </c>
      <c r="B121" s="9" t="s">
        <v>8</v>
      </c>
      <c r="C121" s="9" t="str">
        <f t="shared" si="4"/>
        <v>Campaign 120</v>
      </c>
      <c r="D121" s="9">
        <v>78</v>
      </c>
      <c r="E121" s="9">
        <v>21</v>
      </c>
      <c r="F121" s="9">
        <v>820</v>
      </c>
      <c r="G121" s="9">
        <v>0.27</v>
      </c>
      <c r="H121" s="9">
        <v>1050</v>
      </c>
      <c r="I121" s="10">
        <f t="shared" si="5"/>
        <v>10.512820512820513</v>
      </c>
      <c r="J121" s="10">
        <f t="shared" si="6"/>
        <v>39.047619047619051</v>
      </c>
      <c r="K121" s="11">
        <f t="shared" si="7"/>
        <v>0.28048780487804881</v>
      </c>
    </row>
    <row r="122" spans="1:11" x14ac:dyDescent="0.3">
      <c r="A122" s="8">
        <v>45322</v>
      </c>
      <c r="B122" s="9" t="s">
        <v>8</v>
      </c>
      <c r="C122" s="9" t="str">
        <f t="shared" si="4"/>
        <v>Campaign 121</v>
      </c>
      <c r="D122" s="9">
        <v>92</v>
      </c>
      <c r="E122" s="9">
        <v>14</v>
      </c>
      <c r="F122" s="9">
        <v>1510</v>
      </c>
      <c r="G122" s="9">
        <v>0.15</v>
      </c>
      <c r="H122" s="9">
        <v>700</v>
      </c>
      <c r="I122" s="10">
        <f t="shared" si="5"/>
        <v>16.413043478260871</v>
      </c>
      <c r="J122" s="10">
        <f t="shared" si="6"/>
        <v>107.85714285714286</v>
      </c>
      <c r="K122" s="11">
        <f t="shared" si="7"/>
        <v>-0.53642384105960261</v>
      </c>
    </row>
    <row r="123" spans="1:11" x14ac:dyDescent="0.3">
      <c r="A123" s="8">
        <v>45323</v>
      </c>
      <c r="B123" s="9" t="s">
        <v>8</v>
      </c>
      <c r="C123" s="9" t="str">
        <f t="shared" si="4"/>
        <v>Campaign 122</v>
      </c>
      <c r="D123" s="9">
        <v>27</v>
      </c>
      <c r="E123" s="9">
        <v>40</v>
      </c>
      <c r="F123" s="9">
        <v>161</v>
      </c>
      <c r="G123" s="9">
        <v>1.48</v>
      </c>
      <c r="H123" s="9">
        <v>2000</v>
      </c>
      <c r="I123" s="10">
        <f t="shared" si="5"/>
        <v>5.9629629629629628</v>
      </c>
      <c r="J123" s="10">
        <f t="shared" si="6"/>
        <v>4.0250000000000004</v>
      </c>
      <c r="K123" s="11">
        <f t="shared" si="7"/>
        <v>11.422360248447205</v>
      </c>
    </row>
    <row r="124" spans="1:11" x14ac:dyDescent="0.3">
      <c r="A124" s="8">
        <v>45324</v>
      </c>
      <c r="B124" s="9" t="s">
        <v>8</v>
      </c>
      <c r="C124" s="9" t="str">
        <f t="shared" si="4"/>
        <v>Campaign 123</v>
      </c>
      <c r="D124" s="9">
        <v>52</v>
      </c>
      <c r="E124" s="9">
        <v>7</v>
      </c>
      <c r="F124" s="9">
        <v>1752</v>
      </c>
      <c r="G124" s="9">
        <v>0.13</v>
      </c>
      <c r="H124" s="9">
        <v>350</v>
      </c>
      <c r="I124" s="10">
        <f t="shared" si="5"/>
        <v>33.692307692307693</v>
      </c>
      <c r="J124" s="10">
        <f t="shared" si="6"/>
        <v>250.28571428571428</v>
      </c>
      <c r="K124" s="11">
        <f t="shared" si="7"/>
        <v>-0.80022831050228316</v>
      </c>
    </row>
    <row r="125" spans="1:11" x14ac:dyDescent="0.3">
      <c r="A125" s="8">
        <v>45325</v>
      </c>
      <c r="B125" s="9" t="s">
        <v>8</v>
      </c>
      <c r="C125" s="9" t="str">
        <f t="shared" si="4"/>
        <v>Campaign 124</v>
      </c>
      <c r="D125" s="9">
        <v>68</v>
      </c>
      <c r="E125" s="9">
        <v>25</v>
      </c>
      <c r="F125" s="9">
        <v>1218</v>
      </c>
      <c r="G125" s="9">
        <v>0.37</v>
      </c>
      <c r="H125" s="9">
        <v>1250</v>
      </c>
      <c r="I125" s="10">
        <f t="shared" si="5"/>
        <v>17.911764705882351</v>
      </c>
      <c r="J125" s="10">
        <f t="shared" si="6"/>
        <v>48.72</v>
      </c>
      <c r="K125" s="11">
        <f t="shared" si="7"/>
        <v>2.6272577996715927E-2</v>
      </c>
    </row>
    <row r="126" spans="1:11" x14ac:dyDescent="0.3">
      <c r="A126" s="8">
        <v>45326</v>
      </c>
      <c r="B126" s="9" t="s">
        <v>8</v>
      </c>
      <c r="C126" s="9" t="str">
        <f t="shared" si="4"/>
        <v>Campaign 125</v>
      </c>
      <c r="D126" s="9">
        <v>130</v>
      </c>
      <c r="E126" s="9">
        <v>6</v>
      </c>
      <c r="F126" s="9">
        <v>1338</v>
      </c>
      <c r="G126" s="9">
        <v>0.05</v>
      </c>
      <c r="H126" s="9">
        <v>300</v>
      </c>
      <c r="I126" s="10">
        <f t="shared" si="5"/>
        <v>10.292307692307693</v>
      </c>
      <c r="J126" s="10">
        <f t="shared" si="6"/>
        <v>223</v>
      </c>
      <c r="K126" s="11">
        <f t="shared" si="7"/>
        <v>-0.77578475336322872</v>
      </c>
    </row>
    <row r="127" spans="1:11" x14ac:dyDescent="0.3">
      <c r="A127" s="8">
        <v>45327</v>
      </c>
      <c r="B127" s="9" t="s">
        <v>8</v>
      </c>
      <c r="C127" s="9" t="str">
        <f t="shared" si="4"/>
        <v>Campaign 126</v>
      </c>
      <c r="D127" s="9">
        <v>40</v>
      </c>
      <c r="E127" s="9">
        <v>22</v>
      </c>
      <c r="F127" s="9">
        <v>664</v>
      </c>
      <c r="G127" s="9">
        <v>0.55000000000000004</v>
      </c>
      <c r="H127" s="9">
        <v>1100</v>
      </c>
      <c r="I127" s="10">
        <f t="shared" si="5"/>
        <v>16.600000000000001</v>
      </c>
      <c r="J127" s="10">
        <f t="shared" si="6"/>
        <v>30.181818181818183</v>
      </c>
      <c r="K127" s="11">
        <f t="shared" si="7"/>
        <v>0.65662650602409633</v>
      </c>
    </row>
    <row r="128" spans="1:11" x14ac:dyDescent="0.3">
      <c r="A128" s="8">
        <v>45328</v>
      </c>
      <c r="B128" s="9" t="s">
        <v>8</v>
      </c>
      <c r="C128" s="9" t="str">
        <f t="shared" si="4"/>
        <v>Campaign 127</v>
      </c>
      <c r="D128" s="9">
        <v>120</v>
      </c>
      <c r="E128" s="9">
        <v>28</v>
      </c>
      <c r="F128" s="9">
        <v>1381</v>
      </c>
      <c r="G128" s="9">
        <v>0.23</v>
      </c>
      <c r="H128" s="9">
        <v>1400</v>
      </c>
      <c r="I128" s="10">
        <f t="shared" si="5"/>
        <v>11.508333333333333</v>
      </c>
      <c r="J128" s="10">
        <f t="shared" si="6"/>
        <v>49.321428571428569</v>
      </c>
      <c r="K128" s="11">
        <f t="shared" si="7"/>
        <v>1.3758146270818247E-2</v>
      </c>
    </row>
    <row r="129" spans="1:11" x14ac:dyDescent="0.3">
      <c r="A129" s="8">
        <v>45329</v>
      </c>
      <c r="B129" s="9" t="s">
        <v>8</v>
      </c>
      <c r="C129" s="9" t="str">
        <f t="shared" si="4"/>
        <v>Campaign 128</v>
      </c>
      <c r="D129" s="9">
        <v>45</v>
      </c>
      <c r="E129" s="9">
        <v>49</v>
      </c>
      <c r="F129" s="9">
        <v>1813</v>
      </c>
      <c r="G129" s="9">
        <v>1.0900000000000001</v>
      </c>
      <c r="H129" s="9">
        <v>2450</v>
      </c>
      <c r="I129" s="10">
        <f t="shared" si="5"/>
        <v>40.288888888888891</v>
      </c>
      <c r="J129" s="10">
        <f t="shared" si="6"/>
        <v>37</v>
      </c>
      <c r="K129" s="11">
        <f t="shared" si="7"/>
        <v>0.35135135135135137</v>
      </c>
    </row>
    <row r="130" spans="1:11" x14ac:dyDescent="0.3">
      <c r="A130" s="8">
        <v>45330</v>
      </c>
      <c r="B130" s="9" t="s">
        <v>8</v>
      </c>
      <c r="C130" s="9" t="str">
        <f t="shared" si="4"/>
        <v>Campaign 129</v>
      </c>
      <c r="D130" s="9">
        <v>72</v>
      </c>
      <c r="E130" s="9">
        <v>29</v>
      </c>
      <c r="F130" s="9">
        <v>932</v>
      </c>
      <c r="G130" s="9">
        <v>0.4</v>
      </c>
      <c r="H130" s="9">
        <v>1450</v>
      </c>
      <c r="I130" s="10">
        <f t="shared" si="5"/>
        <v>12.944444444444445</v>
      </c>
      <c r="J130" s="10">
        <f t="shared" si="6"/>
        <v>32.137931034482762</v>
      </c>
      <c r="K130" s="11">
        <f t="shared" si="7"/>
        <v>0.55579399141630903</v>
      </c>
    </row>
    <row r="131" spans="1:11" x14ac:dyDescent="0.3">
      <c r="A131" s="8">
        <v>45331</v>
      </c>
      <c r="B131" s="9" t="s">
        <v>8</v>
      </c>
      <c r="C131" s="9" t="str">
        <f t="shared" ref="C131:C194" si="8" xml:space="preserve"> "Campaign " &amp; ROW()-1</f>
        <v>Campaign 130</v>
      </c>
      <c r="D131" s="9">
        <v>71</v>
      </c>
      <c r="E131" s="9">
        <v>38</v>
      </c>
      <c r="F131" s="9">
        <v>932</v>
      </c>
      <c r="G131" s="9">
        <v>0.54</v>
      </c>
      <c r="H131" s="9">
        <v>1900</v>
      </c>
      <c r="I131" s="10">
        <f t="shared" ref="I131:I194" si="9" xml:space="preserve"> F131 / D131</f>
        <v>13.126760563380282</v>
      </c>
      <c r="J131" s="10">
        <f t="shared" ref="J131:J194" si="10" xml:space="preserve"> F131 / E131</f>
        <v>24.526315789473685</v>
      </c>
      <c r="K131" s="11">
        <f t="shared" ref="K131:K194" si="11" xml:space="preserve"> (H131 - F131) / F131</f>
        <v>1.03862660944206</v>
      </c>
    </row>
    <row r="132" spans="1:11" x14ac:dyDescent="0.3">
      <c r="A132" s="8">
        <v>45332</v>
      </c>
      <c r="B132" s="9" t="s">
        <v>8</v>
      </c>
      <c r="C132" s="9" t="str">
        <f t="shared" si="8"/>
        <v>Campaign 131</v>
      </c>
      <c r="D132" s="9">
        <v>77</v>
      </c>
      <c r="E132" s="9">
        <v>21</v>
      </c>
      <c r="F132" s="9">
        <v>1274</v>
      </c>
      <c r="G132" s="9">
        <v>0.27</v>
      </c>
      <c r="H132" s="9">
        <v>1050</v>
      </c>
      <c r="I132" s="10">
        <f t="shared" si="9"/>
        <v>16.545454545454547</v>
      </c>
      <c r="J132" s="10">
        <f t="shared" si="10"/>
        <v>60.666666666666664</v>
      </c>
      <c r="K132" s="11">
        <f t="shared" si="11"/>
        <v>-0.17582417582417584</v>
      </c>
    </row>
    <row r="133" spans="1:11" x14ac:dyDescent="0.3">
      <c r="A133" s="8">
        <v>45333</v>
      </c>
      <c r="B133" s="9" t="s">
        <v>8</v>
      </c>
      <c r="C133" s="9" t="str">
        <f t="shared" si="8"/>
        <v>Campaign 132</v>
      </c>
      <c r="D133" s="9">
        <v>126</v>
      </c>
      <c r="E133" s="9">
        <v>37</v>
      </c>
      <c r="F133" s="9">
        <v>536</v>
      </c>
      <c r="G133" s="9">
        <v>0.28999999999999998</v>
      </c>
      <c r="H133" s="9">
        <v>1850</v>
      </c>
      <c r="I133" s="10">
        <f t="shared" si="9"/>
        <v>4.253968253968254</v>
      </c>
      <c r="J133" s="10">
        <f t="shared" si="10"/>
        <v>14.486486486486486</v>
      </c>
      <c r="K133" s="11">
        <f t="shared" si="11"/>
        <v>2.4514925373134329</v>
      </c>
    </row>
    <row r="134" spans="1:11" x14ac:dyDescent="0.3">
      <c r="A134" s="8">
        <v>45334</v>
      </c>
      <c r="B134" s="9" t="s">
        <v>8</v>
      </c>
      <c r="C134" s="9" t="str">
        <f t="shared" si="8"/>
        <v>Campaign 133</v>
      </c>
      <c r="D134" s="9">
        <v>24</v>
      </c>
      <c r="E134" s="9">
        <v>40</v>
      </c>
      <c r="F134" s="9">
        <v>800</v>
      </c>
      <c r="G134" s="9">
        <v>1.67</v>
      </c>
      <c r="H134" s="9">
        <v>2000</v>
      </c>
      <c r="I134" s="10">
        <f t="shared" si="9"/>
        <v>33.333333333333336</v>
      </c>
      <c r="J134" s="10">
        <f t="shared" si="10"/>
        <v>20</v>
      </c>
      <c r="K134" s="11">
        <f t="shared" si="11"/>
        <v>1.5</v>
      </c>
    </row>
    <row r="135" spans="1:11" x14ac:dyDescent="0.3">
      <c r="A135" s="8">
        <v>45335</v>
      </c>
      <c r="B135" s="9" t="s">
        <v>8</v>
      </c>
      <c r="C135" s="9" t="str">
        <f t="shared" si="8"/>
        <v>Campaign 134</v>
      </c>
      <c r="D135" s="9">
        <v>50</v>
      </c>
      <c r="E135" s="9">
        <v>35</v>
      </c>
      <c r="F135" s="9">
        <v>1560</v>
      </c>
      <c r="G135" s="9">
        <v>0.7</v>
      </c>
      <c r="H135" s="9">
        <v>1750</v>
      </c>
      <c r="I135" s="10">
        <f t="shared" si="9"/>
        <v>31.2</v>
      </c>
      <c r="J135" s="10">
        <f t="shared" si="10"/>
        <v>44.571428571428569</v>
      </c>
      <c r="K135" s="11">
        <f t="shared" si="11"/>
        <v>0.12179487179487179</v>
      </c>
    </row>
    <row r="136" spans="1:11" x14ac:dyDescent="0.3">
      <c r="A136" s="8">
        <v>45336</v>
      </c>
      <c r="B136" s="9" t="s">
        <v>8</v>
      </c>
      <c r="C136" s="9" t="str">
        <f t="shared" si="8"/>
        <v>Campaign 135</v>
      </c>
      <c r="D136" s="9">
        <v>70</v>
      </c>
      <c r="E136" s="9">
        <v>33</v>
      </c>
      <c r="F136" s="9">
        <v>874</v>
      </c>
      <c r="G136" s="9">
        <v>0.47</v>
      </c>
      <c r="H136" s="9">
        <v>1650</v>
      </c>
      <c r="I136" s="10">
        <f t="shared" si="9"/>
        <v>12.485714285714286</v>
      </c>
      <c r="J136" s="10">
        <f t="shared" si="10"/>
        <v>26.484848484848484</v>
      </c>
      <c r="K136" s="11">
        <f t="shared" si="11"/>
        <v>0.88787185354691078</v>
      </c>
    </row>
    <row r="137" spans="1:11" x14ac:dyDescent="0.3">
      <c r="A137" s="8">
        <v>45337</v>
      </c>
      <c r="B137" s="9" t="s">
        <v>8</v>
      </c>
      <c r="C137" s="9" t="str">
        <f t="shared" si="8"/>
        <v>Campaign 136</v>
      </c>
      <c r="D137" s="9">
        <v>67</v>
      </c>
      <c r="E137" s="9">
        <v>27</v>
      </c>
      <c r="F137" s="9">
        <v>1265</v>
      </c>
      <c r="G137" s="9">
        <v>0.4</v>
      </c>
      <c r="H137" s="9">
        <v>1350</v>
      </c>
      <c r="I137" s="10">
        <f t="shared" si="9"/>
        <v>18.880597014925375</v>
      </c>
      <c r="J137" s="10">
        <f t="shared" si="10"/>
        <v>46.851851851851855</v>
      </c>
      <c r="K137" s="11">
        <f t="shared" si="11"/>
        <v>6.7193675889328064E-2</v>
      </c>
    </row>
    <row r="138" spans="1:11" x14ac:dyDescent="0.3">
      <c r="A138" s="8">
        <v>45338</v>
      </c>
      <c r="B138" s="9" t="s">
        <v>8</v>
      </c>
      <c r="C138" s="9" t="str">
        <f t="shared" si="8"/>
        <v>Campaign 137</v>
      </c>
      <c r="D138" s="9">
        <v>66</v>
      </c>
      <c r="E138" s="9">
        <v>17</v>
      </c>
      <c r="F138" s="9">
        <v>1691</v>
      </c>
      <c r="G138" s="9">
        <v>0.26</v>
      </c>
      <c r="H138" s="9">
        <v>850</v>
      </c>
      <c r="I138" s="10">
        <f t="shared" si="9"/>
        <v>25.621212121212121</v>
      </c>
      <c r="J138" s="10">
        <f t="shared" si="10"/>
        <v>99.470588235294116</v>
      </c>
      <c r="K138" s="11">
        <f t="shared" si="11"/>
        <v>-0.49733885274985218</v>
      </c>
    </row>
    <row r="139" spans="1:11" x14ac:dyDescent="0.3">
      <c r="A139" s="8">
        <v>45339</v>
      </c>
      <c r="B139" s="9" t="s">
        <v>8</v>
      </c>
      <c r="C139" s="9" t="str">
        <f t="shared" si="8"/>
        <v>Campaign 138</v>
      </c>
      <c r="D139" s="9">
        <v>79</v>
      </c>
      <c r="E139" s="9">
        <v>10</v>
      </c>
      <c r="F139" s="9">
        <v>1808</v>
      </c>
      <c r="G139" s="9">
        <v>0.13</v>
      </c>
      <c r="H139" s="9">
        <v>500</v>
      </c>
      <c r="I139" s="10">
        <f t="shared" si="9"/>
        <v>22.88607594936709</v>
      </c>
      <c r="J139" s="10">
        <f t="shared" si="10"/>
        <v>180.8</v>
      </c>
      <c r="K139" s="11">
        <f t="shared" si="11"/>
        <v>-0.72345132743362828</v>
      </c>
    </row>
    <row r="140" spans="1:11" x14ac:dyDescent="0.3">
      <c r="A140" s="8">
        <v>45340</v>
      </c>
      <c r="B140" s="9" t="s">
        <v>8</v>
      </c>
      <c r="C140" s="9" t="str">
        <f t="shared" si="8"/>
        <v>Campaign 139</v>
      </c>
      <c r="D140" s="9">
        <v>134</v>
      </c>
      <c r="E140" s="9">
        <v>41</v>
      </c>
      <c r="F140" s="9">
        <v>1346</v>
      </c>
      <c r="G140" s="9">
        <v>0.31</v>
      </c>
      <c r="H140" s="9">
        <v>2050</v>
      </c>
      <c r="I140" s="10">
        <f t="shared" si="9"/>
        <v>10.044776119402986</v>
      </c>
      <c r="J140" s="10">
        <f t="shared" si="10"/>
        <v>32.829268292682926</v>
      </c>
      <c r="K140" s="11">
        <f t="shared" si="11"/>
        <v>0.52303120356612187</v>
      </c>
    </row>
    <row r="141" spans="1:11" x14ac:dyDescent="0.3">
      <c r="A141" s="8">
        <v>45341</v>
      </c>
      <c r="B141" s="9" t="s">
        <v>8</v>
      </c>
      <c r="C141" s="9" t="str">
        <f t="shared" si="8"/>
        <v>Campaign 140</v>
      </c>
      <c r="D141" s="9">
        <v>65</v>
      </c>
      <c r="E141" s="9">
        <v>15</v>
      </c>
      <c r="F141" s="9">
        <v>1626</v>
      </c>
      <c r="G141" s="9">
        <v>0.23</v>
      </c>
      <c r="H141" s="9">
        <v>750</v>
      </c>
      <c r="I141" s="10">
        <f t="shared" si="9"/>
        <v>25.015384615384615</v>
      </c>
      <c r="J141" s="10">
        <f t="shared" si="10"/>
        <v>108.4</v>
      </c>
      <c r="K141" s="11">
        <f t="shared" si="11"/>
        <v>-0.53874538745387457</v>
      </c>
    </row>
    <row r="142" spans="1:11" x14ac:dyDescent="0.3">
      <c r="A142" s="8">
        <v>45342</v>
      </c>
      <c r="B142" s="9" t="s">
        <v>8</v>
      </c>
      <c r="C142" s="9" t="str">
        <f t="shared" si="8"/>
        <v>Campaign 141</v>
      </c>
      <c r="D142" s="9">
        <v>134</v>
      </c>
      <c r="E142" s="9">
        <v>8</v>
      </c>
      <c r="F142" s="9">
        <v>1767</v>
      </c>
      <c r="G142" s="9">
        <v>0.06</v>
      </c>
      <c r="H142" s="9">
        <v>400</v>
      </c>
      <c r="I142" s="10">
        <f t="shared" si="9"/>
        <v>13.186567164179104</v>
      </c>
      <c r="J142" s="10">
        <f t="shared" si="10"/>
        <v>220.875</v>
      </c>
      <c r="K142" s="11">
        <f t="shared" si="11"/>
        <v>-0.77362761743067343</v>
      </c>
    </row>
    <row r="143" spans="1:11" x14ac:dyDescent="0.3">
      <c r="A143" s="8">
        <v>45343</v>
      </c>
      <c r="B143" s="9" t="s">
        <v>8</v>
      </c>
      <c r="C143" s="9" t="str">
        <f t="shared" si="8"/>
        <v>Campaign 142</v>
      </c>
      <c r="D143" s="9">
        <v>62</v>
      </c>
      <c r="E143" s="9">
        <v>11</v>
      </c>
      <c r="F143" s="9">
        <v>957</v>
      </c>
      <c r="G143" s="9">
        <v>0.18</v>
      </c>
      <c r="H143" s="9">
        <v>550</v>
      </c>
      <c r="I143" s="10">
        <f t="shared" si="9"/>
        <v>15.435483870967742</v>
      </c>
      <c r="J143" s="10">
        <f t="shared" si="10"/>
        <v>87</v>
      </c>
      <c r="K143" s="11">
        <f t="shared" si="11"/>
        <v>-0.42528735632183906</v>
      </c>
    </row>
    <row r="144" spans="1:11" x14ac:dyDescent="0.3">
      <c r="A144" s="8">
        <v>45344</v>
      </c>
      <c r="B144" s="9" t="s">
        <v>8</v>
      </c>
      <c r="C144" s="9" t="str">
        <f t="shared" si="8"/>
        <v>Campaign 143</v>
      </c>
      <c r="D144" s="9">
        <v>57</v>
      </c>
      <c r="E144" s="9">
        <v>10</v>
      </c>
      <c r="F144" s="9">
        <v>418</v>
      </c>
      <c r="G144" s="9">
        <v>0.18</v>
      </c>
      <c r="H144" s="9">
        <v>500</v>
      </c>
      <c r="I144" s="10">
        <f t="shared" si="9"/>
        <v>7.333333333333333</v>
      </c>
      <c r="J144" s="10">
        <f t="shared" si="10"/>
        <v>41.8</v>
      </c>
      <c r="K144" s="11">
        <f t="shared" si="11"/>
        <v>0.19617224880382775</v>
      </c>
    </row>
    <row r="145" spans="1:11" x14ac:dyDescent="0.3">
      <c r="A145" s="8">
        <v>45345</v>
      </c>
      <c r="B145" s="9" t="s">
        <v>8</v>
      </c>
      <c r="C145" s="9" t="str">
        <f t="shared" si="8"/>
        <v>Campaign 144</v>
      </c>
      <c r="D145" s="9">
        <v>129</v>
      </c>
      <c r="E145" s="9">
        <v>10</v>
      </c>
      <c r="F145" s="9">
        <v>1292</v>
      </c>
      <c r="G145" s="9">
        <v>0.08</v>
      </c>
      <c r="H145" s="9">
        <v>500</v>
      </c>
      <c r="I145" s="10">
        <f t="shared" si="9"/>
        <v>10.015503875968992</v>
      </c>
      <c r="J145" s="10">
        <f t="shared" si="10"/>
        <v>129.19999999999999</v>
      </c>
      <c r="K145" s="11">
        <f t="shared" si="11"/>
        <v>-0.61300309597523217</v>
      </c>
    </row>
    <row r="146" spans="1:11" x14ac:dyDescent="0.3">
      <c r="A146" s="8">
        <v>45346</v>
      </c>
      <c r="B146" s="9" t="s">
        <v>8</v>
      </c>
      <c r="C146" s="9" t="str">
        <f t="shared" si="8"/>
        <v>Campaign 145</v>
      </c>
      <c r="D146" s="9">
        <v>89</v>
      </c>
      <c r="E146" s="9">
        <v>46</v>
      </c>
      <c r="F146" s="9">
        <v>718</v>
      </c>
      <c r="G146" s="9">
        <v>0.52</v>
      </c>
      <c r="H146" s="9">
        <v>2300</v>
      </c>
      <c r="I146" s="10">
        <f t="shared" si="9"/>
        <v>8.0674157303370784</v>
      </c>
      <c r="J146" s="10">
        <f t="shared" si="10"/>
        <v>15.608695652173912</v>
      </c>
      <c r="K146" s="11">
        <f t="shared" si="11"/>
        <v>2.2033426183844012</v>
      </c>
    </row>
    <row r="147" spans="1:11" x14ac:dyDescent="0.3">
      <c r="A147" s="8">
        <v>45347</v>
      </c>
      <c r="B147" s="9" t="s">
        <v>8</v>
      </c>
      <c r="C147" s="9" t="str">
        <f t="shared" si="8"/>
        <v>Campaign 146</v>
      </c>
      <c r="D147" s="9">
        <v>76</v>
      </c>
      <c r="E147" s="9">
        <v>16</v>
      </c>
      <c r="F147" s="9">
        <v>1752</v>
      </c>
      <c r="G147" s="9">
        <v>0.21</v>
      </c>
      <c r="H147" s="9">
        <v>800</v>
      </c>
      <c r="I147" s="10">
        <f t="shared" si="9"/>
        <v>23.05263157894737</v>
      </c>
      <c r="J147" s="10">
        <f t="shared" si="10"/>
        <v>109.5</v>
      </c>
      <c r="K147" s="11">
        <f t="shared" si="11"/>
        <v>-0.54337899543378998</v>
      </c>
    </row>
    <row r="148" spans="1:11" x14ac:dyDescent="0.3">
      <c r="A148" s="8">
        <v>45348</v>
      </c>
      <c r="B148" s="9" t="s">
        <v>8</v>
      </c>
      <c r="C148" s="9" t="str">
        <f t="shared" si="8"/>
        <v>Campaign 147</v>
      </c>
      <c r="D148" s="9">
        <v>49</v>
      </c>
      <c r="E148" s="9">
        <v>5</v>
      </c>
      <c r="F148" s="9">
        <v>1481</v>
      </c>
      <c r="G148" s="9">
        <v>0.1</v>
      </c>
      <c r="H148" s="9">
        <v>250</v>
      </c>
      <c r="I148" s="10">
        <f t="shared" si="9"/>
        <v>30.224489795918366</v>
      </c>
      <c r="J148" s="10">
        <f t="shared" si="10"/>
        <v>296.2</v>
      </c>
      <c r="K148" s="11">
        <f t="shared" si="11"/>
        <v>-0.83119513841998649</v>
      </c>
    </row>
    <row r="149" spans="1:11" x14ac:dyDescent="0.3">
      <c r="A149" s="8">
        <v>45349</v>
      </c>
      <c r="B149" s="9" t="s">
        <v>8</v>
      </c>
      <c r="C149" s="9" t="str">
        <f t="shared" si="8"/>
        <v>Campaign 148</v>
      </c>
      <c r="D149" s="9">
        <v>112</v>
      </c>
      <c r="E149" s="9">
        <v>38</v>
      </c>
      <c r="F149" s="9">
        <v>837</v>
      </c>
      <c r="G149" s="9">
        <v>0.34</v>
      </c>
      <c r="H149" s="9">
        <v>1900</v>
      </c>
      <c r="I149" s="10">
        <f t="shared" si="9"/>
        <v>7.4732142857142856</v>
      </c>
      <c r="J149" s="10">
        <f t="shared" si="10"/>
        <v>22.026315789473685</v>
      </c>
      <c r="K149" s="11">
        <f t="shared" si="11"/>
        <v>1.2700119474313023</v>
      </c>
    </row>
    <row r="150" spans="1:11" x14ac:dyDescent="0.3">
      <c r="A150" s="8">
        <v>45350</v>
      </c>
      <c r="B150" s="9" t="s">
        <v>8</v>
      </c>
      <c r="C150" s="9" t="str">
        <f t="shared" si="8"/>
        <v>Campaign 149</v>
      </c>
      <c r="D150" s="9">
        <v>127</v>
      </c>
      <c r="E150" s="9">
        <v>45</v>
      </c>
      <c r="F150" s="9">
        <v>119</v>
      </c>
      <c r="G150" s="9">
        <v>0.35</v>
      </c>
      <c r="H150" s="9">
        <v>2250</v>
      </c>
      <c r="I150" s="10">
        <f t="shared" si="9"/>
        <v>0.93700787401574803</v>
      </c>
      <c r="J150" s="10">
        <f t="shared" si="10"/>
        <v>2.6444444444444444</v>
      </c>
      <c r="K150" s="11">
        <f t="shared" si="11"/>
        <v>17.907563025210084</v>
      </c>
    </row>
    <row r="151" spans="1:11" x14ac:dyDescent="0.3">
      <c r="A151" s="8">
        <v>45351</v>
      </c>
      <c r="B151" s="9" t="s">
        <v>8</v>
      </c>
      <c r="C151" s="9" t="str">
        <f t="shared" si="8"/>
        <v>Campaign 150</v>
      </c>
      <c r="D151" s="9">
        <v>59</v>
      </c>
      <c r="E151" s="9">
        <v>44</v>
      </c>
      <c r="F151" s="9">
        <v>456</v>
      </c>
      <c r="G151" s="9">
        <v>0.75</v>
      </c>
      <c r="H151" s="9">
        <v>2200</v>
      </c>
      <c r="I151" s="10">
        <f t="shared" si="9"/>
        <v>7.7288135593220337</v>
      </c>
      <c r="J151" s="10">
        <f t="shared" si="10"/>
        <v>10.363636363636363</v>
      </c>
      <c r="K151" s="11">
        <f t="shared" si="11"/>
        <v>3.8245614035087718</v>
      </c>
    </row>
    <row r="152" spans="1:11" x14ac:dyDescent="0.3">
      <c r="A152" s="8">
        <v>45352</v>
      </c>
      <c r="B152" s="9" t="s">
        <v>8</v>
      </c>
      <c r="C152" s="9" t="str">
        <f t="shared" si="8"/>
        <v>Campaign 151</v>
      </c>
      <c r="D152" s="9">
        <v>131</v>
      </c>
      <c r="E152" s="9">
        <v>33</v>
      </c>
      <c r="F152" s="9">
        <v>1595</v>
      </c>
      <c r="G152" s="9">
        <v>0.25</v>
      </c>
      <c r="H152" s="9">
        <v>1650</v>
      </c>
      <c r="I152" s="10">
        <f t="shared" si="9"/>
        <v>12.175572519083969</v>
      </c>
      <c r="J152" s="10">
        <f t="shared" si="10"/>
        <v>48.333333333333336</v>
      </c>
      <c r="K152" s="11">
        <f t="shared" si="11"/>
        <v>3.4482758620689655E-2</v>
      </c>
    </row>
    <row r="153" spans="1:11" x14ac:dyDescent="0.3">
      <c r="A153" s="8">
        <v>45353</v>
      </c>
      <c r="B153" s="9" t="s">
        <v>8</v>
      </c>
      <c r="C153" s="9" t="str">
        <f t="shared" si="8"/>
        <v>Campaign 152</v>
      </c>
      <c r="D153" s="9">
        <v>96</v>
      </c>
      <c r="E153" s="9">
        <v>36</v>
      </c>
      <c r="F153" s="9">
        <v>1158</v>
      </c>
      <c r="G153" s="9">
        <v>0.38</v>
      </c>
      <c r="H153" s="9">
        <v>1800</v>
      </c>
      <c r="I153" s="10">
        <f t="shared" si="9"/>
        <v>12.0625</v>
      </c>
      <c r="J153" s="10">
        <f t="shared" si="10"/>
        <v>32.166666666666664</v>
      </c>
      <c r="K153" s="11">
        <f t="shared" si="11"/>
        <v>0.55440414507772018</v>
      </c>
    </row>
    <row r="154" spans="1:11" x14ac:dyDescent="0.3">
      <c r="A154" s="8">
        <v>45354</v>
      </c>
      <c r="B154" s="9" t="s">
        <v>8</v>
      </c>
      <c r="C154" s="9" t="str">
        <f t="shared" si="8"/>
        <v>Campaign 153</v>
      </c>
      <c r="D154" s="9">
        <v>43</v>
      </c>
      <c r="E154" s="9">
        <v>28</v>
      </c>
      <c r="F154" s="9">
        <v>1392</v>
      </c>
      <c r="G154" s="9">
        <v>0.65</v>
      </c>
      <c r="H154" s="9">
        <v>1400</v>
      </c>
      <c r="I154" s="10">
        <f t="shared" si="9"/>
        <v>32.372093023255815</v>
      </c>
      <c r="J154" s="10">
        <f t="shared" si="10"/>
        <v>49.714285714285715</v>
      </c>
      <c r="K154" s="11">
        <f t="shared" si="11"/>
        <v>5.7471264367816091E-3</v>
      </c>
    </row>
    <row r="155" spans="1:11" x14ac:dyDescent="0.3">
      <c r="A155" s="8">
        <v>45355</v>
      </c>
      <c r="B155" s="9" t="s">
        <v>8</v>
      </c>
      <c r="C155" s="9" t="str">
        <f t="shared" si="8"/>
        <v>Campaign 154</v>
      </c>
      <c r="D155" s="9">
        <v>38</v>
      </c>
      <c r="E155" s="9">
        <v>25</v>
      </c>
      <c r="F155" s="9">
        <v>508</v>
      </c>
      <c r="G155" s="9">
        <v>0.66</v>
      </c>
      <c r="H155" s="9">
        <v>1250</v>
      </c>
      <c r="I155" s="10">
        <f t="shared" si="9"/>
        <v>13.368421052631579</v>
      </c>
      <c r="J155" s="10">
        <f t="shared" si="10"/>
        <v>20.32</v>
      </c>
      <c r="K155" s="11">
        <f t="shared" si="11"/>
        <v>1.4606299212598426</v>
      </c>
    </row>
    <row r="156" spans="1:11" x14ac:dyDescent="0.3">
      <c r="A156" s="8">
        <v>45356</v>
      </c>
      <c r="B156" s="9" t="s">
        <v>8</v>
      </c>
      <c r="C156" s="9" t="str">
        <f t="shared" si="8"/>
        <v>Campaign 155</v>
      </c>
      <c r="D156" s="9">
        <v>107</v>
      </c>
      <c r="E156" s="9">
        <v>14</v>
      </c>
      <c r="F156" s="9">
        <v>666</v>
      </c>
      <c r="G156" s="9">
        <v>0.13</v>
      </c>
      <c r="H156" s="9">
        <v>700</v>
      </c>
      <c r="I156" s="10">
        <f t="shared" si="9"/>
        <v>6.2242990654205608</v>
      </c>
      <c r="J156" s="10">
        <f t="shared" si="10"/>
        <v>47.571428571428569</v>
      </c>
      <c r="K156" s="11">
        <f t="shared" si="11"/>
        <v>5.1051051051051052E-2</v>
      </c>
    </row>
    <row r="157" spans="1:11" x14ac:dyDescent="0.3">
      <c r="A157" s="8">
        <v>45357</v>
      </c>
      <c r="B157" s="9" t="s">
        <v>8</v>
      </c>
      <c r="C157" s="9" t="str">
        <f t="shared" si="8"/>
        <v>Campaign 156</v>
      </c>
      <c r="D157" s="9">
        <v>54</v>
      </c>
      <c r="E157" s="9">
        <v>30</v>
      </c>
      <c r="F157" s="9">
        <v>999</v>
      </c>
      <c r="G157" s="9">
        <v>0.56000000000000005</v>
      </c>
      <c r="H157" s="9">
        <v>1500</v>
      </c>
      <c r="I157" s="10">
        <f t="shared" si="9"/>
        <v>18.5</v>
      </c>
      <c r="J157" s="10">
        <f t="shared" si="10"/>
        <v>33.299999999999997</v>
      </c>
      <c r="K157" s="11">
        <f t="shared" si="11"/>
        <v>0.50150150150150152</v>
      </c>
    </row>
    <row r="158" spans="1:11" x14ac:dyDescent="0.3">
      <c r="A158" s="8">
        <v>45358</v>
      </c>
      <c r="B158" s="9" t="s">
        <v>8</v>
      </c>
      <c r="C158" s="9" t="str">
        <f t="shared" si="8"/>
        <v>Campaign 157</v>
      </c>
      <c r="D158" s="9">
        <v>50</v>
      </c>
      <c r="E158" s="9">
        <v>44</v>
      </c>
      <c r="F158" s="9">
        <v>800</v>
      </c>
      <c r="G158" s="9">
        <v>0.88</v>
      </c>
      <c r="H158" s="9">
        <v>2200</v>
      </c>
      <c r="I158" s="10">
        <f t="shared" si="9"/>
        <v>16</v>
      </c>
      <c r="J158" s="10">
        <f t="shared" si="10"/>
        <v>18.181818181818183</v>
      </c>
      <c r="K158" s="11">
        <f t="shared" si="11"/>
        <v>1.75</v>
      </c>
    </row>
    <row r="159" spans="1:11" x14ac:dyDescent="0.3">
      <c r="A159" s="8">
        <v>45359</v>
      </c>
      <c r="B159" s="9" t="s">
        <v>8</v>
      </c>
      <c r="C159" s="9" t="str">
        <f t="shared" si="8"/>
        <v>Campaign 158</v>
      </c>
      <c r="D159" s="9">
        <v>111</v>
      </c>
      <c r="E159" s="9">
        <v>20</v>
      </c>
      <c r="F159" s="9">
        <v>341</v>
      </c>
      <c r="G159" s="9">
        <v>0.18</v>
      </c>
      <c r="H159" s="9">
        <v>1000</v>
      </c>
      <c r="I159" s="10">
        <f t="shared" si="9"/>
        <v>3.0720720720720722</v>
      </c>
      <c r="J159" s="10">
        <f t="shared" si="10"/>
        <v>17.05</v>
      </c>
      <c r="K159" s="11">
        <f t="shared" si="11"/>
        <v>1.9325513196480939</v>
      </c>
    </row>
    <row r="160" spans="1:11" x14ac:dyDescent="0.3">
      <c r="A160" s="8">
        <v>45360</v>
      </c>
      <c r="B160" s="9" t="s">
        <v>8</v>
      </c>
      <c r="C160" s="9" t="str">
        <f t="shared" si="8"/>
        <v>Campaign 159</v>
      </c>
      <c r="D160" s="9">
        <v>26</v>
      </c>
      <c r="E160" s="9">
        <v>34</v>
      </c>
      <c r="F160" s="9">
        <v>286</v>
      </c>
      <c r="G160" s="9">
        <v>1.31</v>
      </c>
      <c r="H160" s="9">
        <v>1700</v>
      </c>
      <c r="I160" s="10">
        <f t="shared" si="9"/>
        <v>11</v>
      </c>
      <c r="J160" s="10">
        <f t="shared" si="10"/>
        <v>8.4117647058823533</v>
      </c>
      <c r="K160" s="11">
        <f t="shared" si="11"/>
        <v>4.9440559440559442</v>
      </c>
    </row>
    <row r="161" spans="1:11" x14ac:dyDescent="0.3">
      <c r="A161" s="8">
        <v>45361</v>
      </c>
      <c r="B161" s="9" t="s">
        <v>8</v>
      </c>
      <c r="C161" s="9" t="str">
        <f t="shared" si="8"/>
        <v>Campaign 160</v>
      </c>
      <c r="D161" s="9">
        <v>133</v>
      </c>
      <c r="E161" s="9">
        <v>26</v>
      </c>
      <c r="F161" s="9">
        <v>1592</v>
      </c>
      <c r="G161" s="9">
        <v>0.2</v>
      </c>
      <c r="H161" s="9">
        <v>1300</v>
      </c>
      <c r="I161" s="10">
        <f t="shared" si="9"/>
        <v>11.969924812030076</v>
      </c>
      <c r="J161" s="10">
        <f t="shared" si="10"/>
        <v>61.230769230769234</v>
      </c>
      <c r="K161" s="11">
        <f t="shared" si="11"/>
        <v>-0.18341708542713567</v>
      </c>
    </row>
    <row r="162" spans="1:11" x14ac:dyDescent="0.3">
      <c r="A162" s="8">
        <v>45362</v>
      </c>
      <c r="B162" s="9" t="s">
        <v>8</v>
      </c>
      <c r="C162" s="9" t="str">
        <f t="shared" si="8"/>
        <v>Campaign 161</v>
      </c>
      <c r="D162" s="9">
        <v>122</v>
      </c>
      <c r="E162" s="9">
        <v>48</v>
      </c>
      <c r="F162" s="9">
        <v>616</v>
      </c>
      <c r="G162" s="9">
        <v>0.39</v>
      </c>
      <c r="H162" s="9">
        <v>2400</v>
      </c>
      <c r="I162" s="10">
        <f t="shared" si="9"/>
        <v>5.0491803278688527</v>
      </c>
      <c r="J162" s="10">
        <f t="shared" si="10"/>
        <v>12.833333333333334</v>
      </c>
      <c r="K162" s="11">
        <f t="shared" si="11"/>
        <v>2.8961038961038961</v>
      </c>
    </row>
    <row r="163" spans="1:11" x14ac:dyDescent="0.3">
      <c r="A163" s="8">
        <v>45363</v>
      </c>
      <c r="B163" s="9" t="s">
        <v>8</v>
      </c>
      <c r="C163" s="9" t="str">
        <f t="shared" si="8"/>
        <v>Campaign 162</v>
      </c>
      <c r="D163" s="9">
        <v>88</v>
      </c>
      <c r="E163" s="9">
        <v>17</v>
      </c>
      <c r="F163" s="9">
        <v>962</v>
      </c>
      <c r="G163" s="9">
        <v>0.19</v>
      </c>
      <c r="H163" s="9">
        <v>850</v>
      </c>
      <c r="I163" s="10">
        <f t="shared" si="9"/>
        <v>10.931818181818182</v>
      </c>
      <c r="J163" s="10">
        <f t="shared" si="10"/>
        <v>56.588235294117645</v>
      </c>
      <c r="K163" s="11">
        <f t="shared" si="11"/>
        <v>-0.11642411642411643</v>
      </c>
    </row>
    <row r="164" spans="1:11" x14ac:dyDescent="0.3">
      <c r="A164" s="8">
        <v>45364</v>
      </c>
      <c r="B164" s="9" t="s">
        <v>8</v>
      </c>
      <c r="C164" s="9" t="str">
        <f t="shared" si="8"/>
        <v>Campaign 163</v>
      </c>
      <c r="D164" s="9">
        <v>84</v>
      </c>
      <c r="E164" s="9">
        <v>24</v>
      </c>
      <c r="F164" s="9">
        <v>1669</v>
      </c>
      <c r="G164" s="9">
        <v>0.28999999999999998</v>
      </c>
      <c r="H164" s="9">
        <v>1200</v>
      </c>
      <c r="I164" s="10">
        <f t="shared" si="9"/>
        <v>19.86904761904762</v>
      </c>
      <c r="J164" s="10">
        <f t="shared" si="10"/>
        <v>69.541666666666671</v>
      </c>
      <c r="K164" s="11">
        <f t="shared" si="11"/>
        <v>-0.2810065907729179</v>
      </c>
    </row>
    <row r="165" spans="1:11" x14ac:dyDescent="0.3">
      <c r="A165" s="8">
        <v>45365</v>
      </c>
      <c r="B165" s="9" t="s">
        <v>8</v>
      </c>
      <c r="C165" s="9" t="str">
        <f t="shared" si="8"/>
        <v>Campaign 164</v>
      </c>
      <c r="D165" s="9">
        <v>116</v>
      </c>
      <c r="E165" s="9">
        <v>14</v>
      </c>
      <c r="F165" s="9">
        <v>105</v>
      </c>
      <c r="G165" s="9">
        <v>0.12</v>
      </c>
      <c r="H165" s="9">
        <v>700</v>
      </c>
      <c r="I165" s="10">
        <f t="shared" si="9"/>
        <v>0.90517241379310343</v>
      </c>
      <c r="J165" s="10">
        <f t="shared" si="10"/>
        <v>7.5</v>
      </c>
      <c r="K165" s="11">
        <f t="shared" si="11"/>
        <v>5.666666666666667</v>
      </c>
    </row>
    <row r="166" spans="1:11" x14ac:dyDescent="0.3">
      <c r="A166" s="8">
        <v>45366</v>
      </c>
      <c r="B166" s="9" t="s">
        <v>8</v>
      </c>
      <c r="C166" s="9" t="str">
        <f t="shared" si="8"/>
        <v>Campaign 165</v>
      </c>
      <c r="D166" s="9">
        <v>120</v>
      </c>
      <c r="E166" s="9">
        <v>8</v>
      </c>
      <c r="F166" s="9">
        <v>315</v>
      </c>
      <c r="G166" s="9">
        <v>7.0000000000000007E-2</v>
      </c>
      <c r="H166" s="9">
        <v>400</v>
      </c>
      <c r="I166" s="10">
        <f t="shared" si="9"/>
        <v>2.625</v>
      </c>
      <c r="J166" s="10">
        <f t="shared" si="10"/>
        <v>39.375</v>
      </c>
      <c r="K166" s="11">
        <f t="shared" si="11"/>
        <v>0.26984126984126983</v>
      </c>
    </row>
    <row r="167" spans="1:11" x14ac:dyDescent="0.3">
      <c r="A167" s="8">
        <v>45367</v>
      </c>
      <c r="B167" s="9" t="s">
        <v>8</v>
      </c>
      <c r="C167" s="9" t="str">
        <f t="shared" si="8"/>
        <v>Campaign 166</v>
      </c>
      <c r="D167" s="9">
        <v>109</v>
      </c>
      <c r="E167" s="9">
        <v>29</v>
      </c>
      <c r="F167" s="9">
        <v>1940</v>
      </c>
      <c r="G167" s="9">
        <v>0.27</v>
      </c>
      <c r="H167" s="9">
        <v>1450</v>
      </c>
      <c r="I167" s="10">
        <f t="shared" si="9"/>
        <v>17.798165137614678</v>
      </c>
      <c r="J167" s="10">
        <f t="shared" si="10"/>
        <v>66.896551724137936</v>
      </c>
      <c r="K167" s="11">
        <f t="shared" si="11"/>
        <v>-0.25257731958762886</v>
      </c>
    </row>
    <row r="168" spans="1:11" x14ac:dyDescent="0.3">
      <c r="A168" s="8">
        <v>45368</v>
      </c>
      <c r="B168" s="9" t="s">
        <v>8</v>
      </c>
      <c r="C168" s="9" t="str">
        <f t="shared" si="8"/>
        <v>Campaign 167</v>
      </c>
      <c r="D168" s="9">
        <v>125</v>
      </c>
      <c r="E168" s="9">
        <v>37</v>
      </c>
      <c r="F168" s="9">
        <v>647</v>
      </c>
      <c r="G168" s="9">
        <v>0.3</v>
      </c>
      <c r="H168" s="9">
        <v>1850</v>
      </c>
      <c r="I168" s="10">
        <f t="shared" si="9"/>
        <v>5.1760000000000002</v>
      </c>
      <c r="J168" s="10">
        <f t="shared" si="10"/>
        <v>17.486486486486488</v>
      </c>
      <c r="K168" s="11">
        <f t="shared" si="11"/>
        <v>1.8593508500772797</v>
      </c>
    </row>
    <row r="169" spans="1:11" x14ac:dyDescent="0.3">
      <c r="A169" s="8">
        <v>45369</v>
      </c>
      <c r="B169" s="9" t="s">
        <v>8</v>
      </c>
      <c r="C169" s="9" t="str">
        <f t="shared" si="8"/>
        <v>Campaign 168</v>
      </c>
      <c r="D169" s="9">
        <v>129</v>
      </c>
      <c r="E169" s="9">
        <v>41</v>
      </c>
      <c r="F169" s="9">
        <v>625</v>
      </c>
      <c r="G169" s="9">
        <v>0.32</v>
      </c>
      <c r="H169" s="9">
        <v>2050</v>
      </c>
      <c r="I169" s="10">
        <f t="shared" si="9"/>
        <v>4.8449612403100772</v>
      </c>
      <c r="J169" s="10">
        <f t="shared" si="10"/>
        <v>15.24390243902439</v>
      </c>
      <c r="K169" s="11">
        <f t="shared" si="11"/>
        <v>2.2799999999999998</v>
      </c>
    </row>
    <row r="170" spans="1:11" x14ac:dyDescent="0.3">
      <c r="A170" s="8">
        <v>45370</v>
      </c>
      <c r="B170" s="9" t="s">
        <v>8</v>
      </c>
      <c r="C170" s="9" t="str">
        <f t="shared" si="8"/>
        <v>Campaign 169</v>
      </c>
      <c r="D170" s="9">
        <v>139</v>
      </c>
      <c r="E170" s="9">
        <v>12</v>
      </c>
      <c r="F170" s="9">
        <v>1510</v>
      </c>
      <c r="G170" s="9">
        <v>0.09</v>
      </c>
      <c r="H170" s="9">
        <v>600</v>
      </c>
      <c r="I170" s="10">
        <f t="shared" si="9"/>
        <v>10.863309352517986</v>
      </c>
      <c r="J170" s="10">
        <f t="shared" si="10"/>
        <v>125.83333333333333</v>
      </c>
      <c r="K170" s="11">
        <f t="shared" si="11"/>
        <v>-0.60264900662251653</v>
      </c>
    </row>
    <row r="171" spans="1:11" x14ac:dyDescent="0.3">
      <c r="A171" s="8">
        <v>45371</v>
      </c>
      <c r="B171" s="9" t="s">
        <v>8</v>
      </c>
      <c r="C171" s="9" t="str">
        <f t="shared" si="8"/>
        <v>Campaign 170</v>
      </c>
      <c r="D171" s="9">
        <v>127</v>
      </c>
      <c r="E171" s="9">
        <v>35</v>
      </c>
      <c r="F171" s="9">
        <v>633</v>
      </c>
      <c r="G171" s="9">
        <v>0.28000000000000003</v>
      </c>
      <c r="H171" s="9">
        <v>1750</v>
      </c>
      <c r="I171" s="10">
        <f t="shared" si="9"/>
        <v>4.984251968503937</v>
      </c>
      <c r="J171" s="10">
        <f t="shared" si="10"/>
        <v>18.085714285714285</v>
      </c>
      <c r="K171" s="11">
        <f t="shared" si="11"/>
        <v>1.764612954186414</v>
      </c>
    </row>
    <row r="172" spans="1:11" x14ac:dyDescent="0.3">
      <c r="A172" s="8">
        <v>45372</v>
      </c>
      <c r="B172" s="9" t="s">
        <v>8</v>
      </c>
      <c r="C172" s="9" t="str">
        <f t="shared" si="8"/>
        <v>Campaign 171</v>
      </c>
      <c r="D172" s="9">
        <v>105</v>
      </c>
      <c r="E172" s="9">
        <v>42</v>
      </c>
      <c r="F172" s="9">
        <v>1717</v>
      </c>
      <c r="G172" s="9">
        <v>0.4</v>
      </c>
      <c r="H172" s="9">
        <v>2100</v>
      </c>
      <c r="I172" s="10">
        <f t="shared" si="9"/>
        <v>16.352380952380951</v>
      </c>
      <c r="J172" s="10">
        <f t="shared" si="10"/>
        <v>40.88095238095238</v>
      </c>
      <c r="K172" s="11">
        <f t="shared" si="11"/>
        <v>0.22306348281887012</v>
      </c>
    </row>
    <row r="173" spans="1:11" x14ac:dyDescent="0.3">
      <c r="A173" s="8">
        <v>45373</v>
      </c>
      <c r="B173" s="9" t="s">
        <v>8</v>
      </c>
      <c r="C173" s="9" t="str">
        <f t="shared" si="8"/>
        <v>Campaign 172</v>
      </c>
      <c r="D173" s="9">
        <v>49</v>
      </c>
      <c r="E173" s="9">
        <v>12</v>
      </c>
      <c r="F173" s="9">
        <v>1030</v>
      </c>
      <c r="G173" s="9">
        <v>0.24</v>
      </c>
      <c r="H173" s="9">
        <v>600</v>
      </c>
      <c r="I173" s="10">
        <f t="shared" si="9"/>
        <v>21.020408163265305</v>
      </c>
      <c r="J173" s="10">
        <f t="shared" si="10"/>
        <v>85.833333333333329</v>
      </c>
      <c r="K173" s="11">
        <f t="shared" si="11"/>
        <v>-0.41747572815533979</v>
      </c>
    </row>
    <row r="174" spans="1:11" x14ac:dyDescent="0.3">
      <c r="A174" s="8">
        <v>45374</v>
      </c>
      <c r="B174" s="9" t="s">
        <v>8</v>
      </c>
      <c r="C174" s="9" t="str">
        <f t="shared" si="8"/>
        <v>Campaign 173</v>
      </c>
      <c r="D174" s="9">
        <v>105</v>
      </c>
      <c r="E174" s="9">
        <v>22</v>
      </c>
      <c r="F174" s="9">
        <v>1220</v>
      </c>
      <c r="G174" s="9">
        <v>0.21</v>
      </c>
      <c r="H174" s="9">
        <v>1100</v>
      </c>
      <c r="I174" s="10">
        <f t="shared" si="9"/>
        <v>11.619047619047619</v>
      </c>
      <c r="J174" s="10">
        <f t="shared" si="10"/>
        <v>55.454545454545453</v>
      </c>
      <c r="K174" s="11">
        <f t="shared" si="11"/>
        <v>-9.8360655737704916E-2</v>
      </c>
    </row>
    <row r="175" spans="1:11" x14ac:dyDescent="0.3">
      <c r="A175" s="8">
        <v>45375</v>
      </c>
      <c r="B175" s="9" t="s">
        <v>8</v>
      </c>
      <c r="C175" s="9" t="str">
        <f t="shared" si="8"/>
        <v>Campaign 174</v>
      </c>
      <c r="D175" s="9">
        <v>96</v>
      </c>
      <c r="E175" s="9">
        <v>33</v>
      </c>
      <c r="F175" s="9">
        <v>705</v>
      </c>
      <c r="G175" s="9">
        <v>0.34</v>
      </c>
      <c r="H175" s="9">
        <v>1650</v>
      </c>
      <c r="I175" s="10">
        <f t="shared" si="9"/>
        <v>7.34375</v>
      </c>
      <c r="J175" s="10">
        <f t="shared" si="10"/>
        <v>21.363636363636363</v>
      </c>
      <c r="K175" s="11">
        <f t="shared" si="11"/>
        <v>1.3404255319148937</v>
      </c>
    </row>
    <row r="176" spans="1:11" x14ac:dyDescent="0.3">
      <c r="A176" s="8">
        <v>45376</v>
      </c>
      <c r="B176" s="9" t="s">
        <v>8</v>
      </c>
      <c r="C176" s="9" t="str">
        <f t="shared" si="8"/>
        <v>Campaign 175</v>
      </c>
      <c r="D176" s="9">
        <v>98</v>
      </c>
      <c r="E176" s="9">
        <v>32</v>
      </c>
      <c r="F176" s="9">
        <v>1255</v>
      </c>
      <c r="G176" s="9">
        <v>0.33</v>
      </c>
      <c r="H176" s="9">
        <v>1600</v>
      </c>
      <c r="I176" s="10">
        <f t="shared" si="9"/>
        <v>12.806122448979592</v>
      </c>
      <c r="J176" s="10">
        <f t="shared" si="10"/>
        <v>39.21875</v>
      </c>
      <c r="K176" s="11">
        <f t="shared" si="11"/>
        <v>0.27490039840637448</v>
      </c>
    </row>
    <row r="177" spans="1:11" x14ac:dyDescent="0.3">
      <c r="A177" s="8">
        <v>45377</v>
      </c>
      <c r="B177" s="9" t="s">
        <v>8</v>
      </c>
      <c r="C177" s="9" t="str">
        <f t="shared" si="8"/>
        <v>Campaign 176</v>
      </c>
      <c r="D177" s="9">
        <v>25</v>
      </c>
      <c r="E177" s="9">
        <v>49</v>
      </c>
      <c r="F177" s="9">
        <v>590</v>
      </c>
      <c r="G177" s="9">
        <v>1.96</v>
      </c>
      <c r="H177" s="9">
        <v>2450</v>
      </c>
      <c r="I177" s="10">
        <f t="shared" si="9"/>
        <v>23.6</v>
      </c>
      <c r="J177" s="10">
        <f t="shared" si="10"/>
        <v>12.040816326530612</v>
      </c>
      <c r="K177" s="11">
        <f t="shared" si="11"/>
        <v>3.152542372881356</v>
      </c>
    </row>
    <row r="178" spans="1:11" x14ac:dyDescent="0.3">
      <c r="A178" s="8">
        <v>45378</v>
      </c>
      <c r="B178" s="9" t="s">
        <v>8</v>
      </c>
      <c r="C178" s="9" t="str">
        <f t="shared" si="8"/>
        <v>Campaign 177</v>
      </c>
      <c r="D178" s="9">
        <v>117</v>
      </c>
      <c r="E178" s="9">
        <v>47</v>
      </c>
      <c r="F178" s="9">
        <v>1148</v>
      </c>
      <c r="G178" s="9">
        <v>0.4</v>
      </c>
      <c r="H178" s="9">
        <v>2350</v>
      </c>
      <c r="I178" s="10">
        <f t="shared" si="9"/>
        <v>9.8119658119658126</v>
      </c>
      <c r="J178" s="10">
        <f t="shared" si="10"/>
        <v>24.425531914893618</v>
      </c>
      <c r="K178" s="11">
        <f t="shared" si="11"/>
        <v>1.0470383275261324</v>
      </c>
    </row>
    <row r="179" spans="1:11" x14ac:dyDescent="0.3">
      <c r="A179" s="8">
        <v>45379</v>
      </c>
      <c r="B179" s="9" t="s">
        <v>8</v>
      </c>
      <c r="C179" s="9" t="str">
        <f t="shared" si="8"/>
        <v>Campaign 178</v>
      </c>
      <c r="D179" s="9">
        <v>96</v>
      </c>
      <c r="E179" s="9">
        <v>46</v>
      </c>
      <c r="F179" s="9">
        <v>1905</v>
      </c>
      <c r="G179" s="9">
        <v>0.48</v>
      </c>
      <c r="H179" s="9">
        <v>2300</v>
      </c>
      <c r="I179" s="10">
        <f t="shared" si="9"/>
        <v>19.84375</v>
      </c>
      <c r="J179" s="10">
        <f t="shared" si="10"/>
        <v>41.413043478260867</v>
      </c>
      <c r="K179" s="11">
        <f t="shared" si="11"/>
        <v>0.20734908136482941</v>
      </c>
    </row>
    <row r="180" spans="1:11" x14ac:dyDescent="0.3">
      <c r="A180" s="8">
        <v>45380</v>
      </c>
      <c r="B180" s="9" t="s">
        <v>8</v>
      </c>
      <c r="C180" s="9" t="str">
        <f t="shared" si="8"/>
        <v>Campaign 179</v>
      </c>
      <c r="D180" s="9">
        <v>99</v>
      </c>
      <c r="E180" s="9">
        <v>13</v>
      </c>
      <c r="F180" s="9">
        <v>527</v>
      </c>
      <c r="G180" s="9">
        <v>0.13</v>
      </c>
      <c r="H180" s="9">
        <v>650</v>
      </c>
      <c r="I180" s="10">
        <f t="shared" si="9"/>
        <v>5.3232323232323235</v>
      </c>
      <c r="J180" s="10">
        <f t="shared" si="10"/>
        <v>40.53846153846154</v>
      </c>
      <c r="K180" s="11">
        <f t="shared" si="11"/>
        <v>0.23339658444022771</v>
      </c>
    </row>
    <row r="181" spans="1:11" x14ac:dyDescent="0.3">
      <c r="A181" s="8">
        <v>45381</v>
      </c>
      <c r="B181" s="9" t="s">
        <v>8</v>
      </c>
      <c r="C181" s="9" t="str">
        <f t="shared" si="8"/>
        <v>Campaign 180</v>
      </c>
      <c r="D181" s="9">
        <v>132</v>
      </c>
      <c r="E181" s="9">
        <v>15</v>
      </c>
      <c r="F181" s="9">
        <v>713</v>
      </c>
      <c r="G181" s="9">
        <v>0.11</v>
      </c>
      <c r="H181" s="9">
        <v>750</v>
      </c>
      <c r="I181" s="10">
        <f t="shared" si="9"/>
        <v>5.4015151515151514</v>
      </c>
      <c r="J181" s="10">
        <f t="shared" si="10"/>
        <v>47.533333333333331</v>
      </c>
      <c r="K181" s="11">
        <f t="shared" si="11"/>
        <v>5.1893408134642355E-2</v>
      </c>
    </row>
    <row r="182" spans="1:11" x14ac:dyDescent="0.3">
      <c r="A182" s="8">
        <v>45292</v>
      </c>
      <c r="B182" s="9" t="s">
        <v>9</v>
      </c>
      <c r="C182" s="9" t="str">
        <f t="shared" si="8"/>
        <v>Campaign 181</v>
      </c>
      <c r="D182" s="9">
        <v>141</v>
      </c>
      <c r="E182" s="9">
        <v>34</v>
      </c>
      <c r="F182" s="9">
        <v>1666</v>
      </c>
      <c r="G182" s="9">
        <v>0.24</v>
      </c>
      <c r="H182" s="9">
        <v>1700</v>
      </c>
      <c r="I182" s="10">
        <f t="shared" si="9"/>
        <v>11.815602836879433</v>
      </c>
      <c r="J182" s="10">
        <f t="shared" si="10"/>
        <v>49</v>
      </c>
      <c r="K182" s="11">
        <f t="shared" si="11"/>
        <v>2.0408163265306121E-2</v>
      </c>
    </row>
    <row r="183" spans="1:11" x14ac:dyDescent="0.3">
      <c r="A183" s="8">
        <v>45293</v>
      </c>
      <c r="B183" s="9" t="s">
        <v>9</v>
      </c>
      <c r="C183" s="9" t="str">
        <f t="shared" si="8"/>
        <v>Campaign 182</v>
      </c>
      <c r="D183" s="9">
        <v>73</v>
      </c>
      <c r="E183" s="9">
        <v>25</v>
      </c>
      <c r="F183" s="9">
        <v>131</v>
      </c>
      <c r="G183" s="9">
        <v>0.34</v>
      </c>
      <c r="H183" s="9">
        <v>1250</v>
      </c>
      <c r="I183" s="10">
        <f t="shared" si="9"/>
        <v>1.7945205479452055</v>
      </c>
      <c r="J183" s="10">
        <f t="shared" si="10"/>
        <v>5.24</v>
      </c>
      <c r="K183" s="11">
        <f t="shared" si="11"/>
        <v>8.5419847328244281</v>
      </c>
    </row>
    <row r="184" spans="1:11" x14ac:dyDescent="0.3">
      <c r="A184" s="8">
        <v>45294</v>
      </c>
      <c r="B184" s="9" t="s">
        <v>9</v>
      </c>
      <c r="C184" s="9" t="str">
        <f t="shared" si="8"/>
        <v>Campaign 183</v>
      </c>
      <c r="D184" s="9">
        <v>56</v>
      </c>
      <c r="E184" s="9">
        <v>33</v>
      </c>
      <c r="F184" s="9">
        <v>229</v>
      </c>
      <c r="G184" s="9">
        <v>0.59</v>
      </c>
      <c r="H184" s="9">
        <v>1650</v>
      </c>
      <c r="I184" s="10">
        <f t="shared" si="9"/>
        <v>4.0892857142857144</v>
      </c>
      <c r="J184" s="10">
        <f t="shared" si="10"/>
        <v>6.9393939393939394</v>
      </c>
      <c r="K184" s="11">
        <f t="shared" si="11"/>
        <v>6.2052401746724888</v>
      </c>
    </row>
    <row r="185" spans="1:11" x14ac:dyDescent="0.3">
      <c r="A185" s="8">
        <v>45295</v>
      </c>
      <c r="B185" s="9" t="s">
        <v>9</v>
      </c>
      <c r="C185" s="9" t="str">
        <f t="shared" si="8"/>
        <v>Campaign 184</v>
      </c>
      <c r="D185" s="9">
        <v>149</v>
      </c>
      <c r="E185" s="9">
        <v>6</v>
      </c>
      <c r="F185" s="9">
        <v>358</v>
      </c>
      <c r="G185" s="9">
        <v>0.04</v>
      </c>
      <c r="H185" s="9">
        <v>300</v>
      </c>
      <c r="I185" s="10">
        <f t="shared" si="9"/>
        <v>2.4026845637583891</v>
      </c>
      <c r="J185" s="10">
        <f t="shared" si="10"/>
        <v>59.666666666666664</v>
      </c>
      <c r="K185" s="11">
        <f t="shared" si="11"/>
        <v>-0.16201117318435754</v>
      </c>
    </row>
    <row r="186" spans="1:11" x14ac:dyDescent="0.3">
      <c r="A186" s="8">
        <v>45296</v>
      </c>
      <c r="B186" s="9" t="s">
        <v>9</v>
      </c>
      <c r="C186" s="9" t="str">
        <f t="shared" si="8"/>
        <v>Campaign 185</v>
      </c>
      <c r="D186" s="9">
        <v>32</v>
      </c>
      <c r="E186" s="9">
        <v>32</v>
      </c>
      <c r="F186" s="9">
        <v>300</v>
      </c>
      <c r="G186" s="9">
        <v>1</v>
      </c>
      <c r="H186" s="9">
        <v>1600</v>
      </c>
      <c r="I186" s="10">
        <f t="shared" si="9"/>
        <v>9.375</v>
      </c>
      <c r="J186" s="10">
        <f t="shared" si="10"/>
        <v>9.375</v>
      </c>
      <c r="K186" s="11">
        <f t="shared" si="11"/>
        <v>4.333333333333333</v>
      </c>
    </row>
    <row r="187" spans="1:11" x14ac:dyDescent="0.3">
      <c r="A187" s="8">
        <v>45297</v>
      </c>
      <c r="B187" s="9" t="s">
        <v>9</v>
      </c>
      <c r="C187" s="9" t="str">
        <f t="shared" si="8"/>
        <v>Campaign 186</v>
      </c>
      <c r="D187" s="9">
        <v>147</v>
      </c>
      <c r="E187" s="9">
        <v>17</v>
      </c>
      <c r="F187" s="9">
        <v>161</v>
      </c>
      <c r="G187" s="9">
        <v>0.12</v>
      </c>
      <c r="H187" s="9">
        <v>850</v>
      </c>
      <c r="I187" s="10">
        <f t="shared" si="9"/>
        <v>1.0952380952380953</v>
      </c>
      <c r="J187" s="10">
        <f t="shared" si="10"/>
        <v>9.4705882352941178</v>
      </c>
      <c r="K187" s="11">
        <f t="shared" si="11"/>
        <v>4.2795031055900621</v>
      </c>
    </row>
    <row r="188" spans="1:11" x14ac:dyDescent="0.3">
      <c r="A188" s="8">
        <v>45298</v>
      </c>
      <c r="B188" s="9" t="s">
        <v>9</v>
      </c>
      <c r="C188" s="9" t="str">
        <f t="shared" si="8"/>
        <v>Campaign 187</v>
      </c>
      <c r="D188" s="9">
        <v>139</v>
      </c>
      <c r="E188" s="9">
        <v>9</v>
      </c>
      <c r="F188" s="9">
        <v>565</v>
      </c>
      <c r="G188" s="9">
        <v>0.06</v>
      </c>
      <c r="H188" s="9">
        <v>450</v>
      </c>
      <c r="I188" s="10">
        <f t="shared" si="9"/>
        <v>4.0647482014388485</v>
      </c>
      <c r="J188" s="10">
        <f t="shared" si="10"/>
        <v>62.777777777777779</v>
      </c>
      <c r="K188" s="11">
        <f t="shared" si="11"/>
        <v>-0.20353982300884957</v>
      </c>
    </row>
    <row r="189" spans="1:11" x14ac:dyDescent="0.3">
      <c r="A189" s="8">
        <v>45299</v>
      </c>
      <c r="B189" s="9" t="s">
        <v>9</v>
      </c>
      <c r="C189" s="9" t="str">
        <f t="shared" si="8"/>
        <v>Campaign 188</v>
      </c>
      <c r="D189" s="9">
        <v>145</v>
      </c>
      <c r="E189" s="9">
        <v>40</v>
      </c>
      <c r="F189" s="9">
        <v>271</v>
      </c>
      <c r="G189" s="9">
        <v>0.28000000000000003</v>
      </c>
      <c r="H189" s="9">
        <v>2000</v>
      </c>
      <c r="I189" s="10">
        <f t="shared" si="9"/>
        <v>1.8689655172413793</v>
      </c>
      <c r="J189" s="10">
        <f t="shared" si="10"/>
        <v>6.7750000000000004</v>
      </c>
      <c r="K189" s="11">
        <f t="shared" si="11"/>
        <v>6.3800738007380078</v>
      </c>
    </row>
    <row r="190" spans="1:11" x14ac:dyDescent="0.3">
      <c r="A190" s="8">
        <v>45300</v>
      </c>
      <c r="B190" s="9" t="s">
        <v>9</v>
      </c>
      <c r="C190" s="9" t="str">
        <f t="shared" si="8"/>
        <v>Campaign 189</v>
      </c>
      <c r="D190" s="9">
        <v>88</v>
      </c>
      <c r="E190" s="9">
        <v>41</v>
      </c>
      <c r="F190" s="9">
        <v>748</v>
      </c>
      <c r="G190" s="9">
        <v>0.47</v>
      </c>
      <c r="H190" s="9">
        <v>2050</v>
      </c>
      <c r="I190" s="10">
        <f t="shared" si="9"/>
        <v>8.5</v>
      </c>
      <c r="J190" s="10">
        <f t="shared" si="10"/>
        <v>18.243902439024389</v>
      </c>
      <c r="K190" s="11">
        <f t="shared" si="11"/>
        <v>1.7406417112299466</v>
      </c>
    </row>
    <row r="191" spans="1:11" x14ac:dyDescent="0.3">
      <c r="A191" s="8">
        <v>45301</v>
      </c>
      <c r="B191" s="9" t="s">
        <v>9</v>
      </c>
      <c r="C191" s="9" t="str">
        <f t="shared" si="8"/>
        <v>Campaign 190</v>
      </c>
      <c r="D191" s="9">
        <v>99</v>
      </c>
      <c r="E191" s="9">
        <v>25</v>
      </c>
      <c r="F191" s="9">
        <v>1391</v>
      </c>
      <c r="G191" s="9">
        <v>0.25</v>
      </c>
      <c r="H191" s="9">
        <v>1250</v>
      </c>
      <c r="I191" s="10">
        <f t="shared" si="9"/>
        <v>14.05050505050505</v>
      </c>
      <c r="J191" s="10">
        <f t="shared" si="10"/>
        <v>55.64</v>
      </c>
      <c r="K191" s="11">
        <f t="shared" si="11"/>
        <v>-0.10136592379583034</v>
      </c>
    </row>
    <row r="192" spans="1:11" x14ac:dyDescent="0.3">
      <c r="A192" s="8">
        <v>45302</v>
      </c>
      <c r="B192" s="9" t="s">
        <v>9</v>
      </c>
      <c r="C192" s="9" t="str">
        <f t="shared" si="8"/>
        <v>Campaign 191</v>
      </c>
      <c r="D192" s="9">
        <v>55</v>
      </c>
      <c r="E192" s="9">
        <v>14</v>
      </c>
      <c r="F192" s="9">
        <v>923</v>
      </c>
      <c r="G192" s="9">
        <v>0.25</v>
      </c>
      <c r="H192" s="9">
        <v>700</v>
      </c>
      <c r="I192" s="10">
        <f t="shared" si="9"/>
        <v>16.781818181818181</v>
      </c>
      <c r="J192" s="10">
        <f t="shared" si="10"/>
        <v>65.928571428571431</v>
      </c>
      <c r="K192" s="11">
        <f t="shared" si="11"/>
        <v>-0.24160346695557963</v>
      </c>
    </row>
    <row r="193" spans="1:11" x14ac:dyDescent="0.3">
      <c r="A193" s="8">
        <v>45303</v>
      </c>
      <c r="B193" s="9" t="s">
        <v>9</v>
      </c>
      <c r="C193" s="9" t="str">
        <f t="shared" si="8"/>
        <v>Campaign 192</v>
      </c>
      <c r="D193" s="9">
        <v>79</v>
      </c>
      <c r="E193" s="9">
        <v>41</v>
      </c>
      <c r="F193" s="9">
        <v>1138</v>
      </c>
      <c r="G193" s="9">
        <v>0.52</v>
      </c>
      <c r="H193" s="9">
        <v>2050</v>
      </c>
      <c r="I193" s="10">
        <f t="shared" si="9"/>
        <v>14.405063291139241</v>
      </c>
      <c r="J193" s="10">
        <f t="shared" si="10"/>
        <v>27.756097560975611</v>
      </c>
      <c r="K193" s="11">
        <f t="shared" si="11"/>
        <v>0.80140597539543057</v>
      </c>
    </row>
    <row r="194" spans="1:11" x14ac:dyDescent="0.3">
      <c r="A194" s="8">
        <v>45304</v>
      </c>
      <c r="B194" s="9" t="s">
        <v>9</v>
      </c>
      <c r="C194" s="9" t="str">
        <f t="shared" si="8"/>
        <v>Campaign 193</v>
      </c>
      <c r="D194" s="9">
        <v>108</v>
      </c>
      <c r="E194" s="9">
        <v>31</v>
      </c>
      <c r="F194" s="9">
        <v>1579</v>
      </c>
      <c r="G194" s="9">
        <v>0.28999999999999998</v>
      </c>
      <c r="H194" s="9">
        <v>1550</v>
      </c>
      <c r="I194" s="10">
        <f t="shared" si="9"/>
        <v>14.62037037037037</v>
      </c>
      <c r="J194" s="10">
        <f t="shared" si="10"/>
        <v>50.935483870967744</v>
      </c>
      <c r="K194" s="11">
        <f t="shared" si="11"/>
        <v>-1.8366054464851171E-2</v>
      </c>
    </row>
    <row r="195" spans="1:11" x14ac:dyDescent="0.3">
      <c r="A195" s="8">
        <v>45305</v>
      </c>
      <c r="B195" s="9" t="s">
        <v>9</v>
      </c>
      <c r="C195" s="9" t="str">
        <f t="shared" ref="C195:C258" si="12" xml:space="preserve"> "Campaign " &amp; ROW()-1</f>
        <v>Campaign 194</v>
      </c>
      <c r="D195" s="9">
        <v>58</v>
      </c>
      <c r="E195" s="9">
        <v>26</v>
      </c>
      <c r="F195" s="9">
        <v>429</v>
      </c>
      <c r="G195" s="9">
        <v>0.45</v>
      </c>
      <c r="H195" s="9">
        <v>1300</v>
      </c>
      <c r="I195" s="10">
        <f t="shared" ref="I195:I258" si="13" xml:space="preserve"> F195 / D195</f>
        <v>7.3965517241379306</v>
      </c>
      <c r="J195" s="10">
        <f t="shared" ref="J195:J258" si="14" xml:space="preserve"> F195 / E195</f>
        <v>16.5</v>
      </c>
      <c r="K195" s="11">
        <f t="shared" ref="K195:K258" si="15" xml:space="preserve"> (H195 - F195) / F195</f>
        <v>2.0303030303030303</v>
      </c>
    </row>
    <row r="196" spans="1:11" x14ac:dyDescent="0.3">
      <c r="A196" s="8">
        <v>45306</v>
      </c>
      <c r="B196" s="9" t="s">
        <v>9</v>
      </c>
      <c r="C196" s="9" t="str">
        <f t="shared" si="12"/>
        <v>Campaign 195</v>
      </c>
      <c r="D196" s="9">
        <v>32</v>
      </c>
      <c r="E196" s="9">
        <v>26</v>
      </c>
      <c r="F196" s="9">
        <v>119</v>
      </c>
      <c r="G196" s="9">
        <v>0.81</v>
      </c>
      <c r="H196" s="9">
        <v>1300</v>
      </c>
      <c r="I196" s="10">
        <f t="shared" si="13"/>
        <v>3.71875</v>
      </c>
      <c r="J196" s="10">
        <f t="shared" si="14"/>
        <v>4.5769230769230766</v>
      </c>
      <c r="K196" s="11">
        <f t="shared" si="15"/>
        <v>9.9243697478991599</v>
      </c>
    </row>
    <row r="197" spans="1:11" x14ac:dyDescent="0.3">
      <c r="A197" s="8">
        <v>45307</v>
      </c>
      <c r="B197" s="9" t="s">
        <v>9</v>
      </c>
      <c r="C197" s="9" t="str">
        <f t="shared" si="12"/>
        <v>Campaign 196</v>
      </c>
      <c r="D197" s="9">
        <v>64</v>
      </c>
      <c r="E197" s="9">
        <v>6</v>
      </c>
      <c r="F197" s="9">
        <v>1220</v>
      </c>
      <c r="G197" s="9">
        <v>0.09</v>
      </c>
      <c r="H197" s="9">
        <v>300</v>
      </c>
      <c r="I197" s="10">
        <f t="shared" si="13"/>
        <v>19.0625</v>
      </c>
      <c r="J197" s="10">
        <f t="shared" si="14"/>
        <v>203.33333333333334</v>
      </c>
      <c r="K197" s="11">
        <f t="shared" si="15"/>
        <v>-0.75409836065573765</v>
      </c>
    </row>
    <row r="198" spans="1:11" x14ac:dyDescent="0.3">
      <c r="A198" s="8">
        <v>45308</v>
      </c>
      <c r="B198" s="9" t="s">
        <v>9</v>
      </c>
      <c r="C198" s="9" t="str">
        <f t="shared" si="12"/>
        <v>Campaign 197</v>
      </c>
      <c r="D198" s="9">
        <v>89</v>
      </c>
      <c r="E198" s="9">
        <v>38</v>
      </c>
      <c r="F198" s="9">
        <v>1153</v>
      </c>
      <c r="G198" s="9">
        <v>0.43</v>
      </c>
      <c r="H198" s="9">
        <v>1900</v>
      </c>
      <c r="I198" s="10">
        <f t="shared" si="13"/>
        <v>12.955056179775282</v>
      </c>
      <c r="J198" s="10">
        <f t="shared" si="14"/>
        <v>30.342105263157894</v>
      </c>
      <c r="K198" s="11">
        <f t="shared" si="15"/>
        <v>0.64787510841283613</v>
      </c>
    </row>
    <row r="199" spans="1:11" x14ac:dyDescent="0.3">
      <c r="A199" s="8">
        <v>45309</v>
      </c>
      <c r="B199" s="9" t="s">
        <v>9</v>
      </c>
      <c r="C199" s="9" t="str">
        <f t="shared" si="12"/>
        <v>Campaign 198</v>
      </c>
      <c r="D199" s="9">
        <v>27</v>
      </c>
      <c r="E199" s="9">
        <v>26</v>
      </c>
      <c r="F199" s="9">
        <v>806</v>
      </c>
      <c r="G199" s="9">
        <v>0.96</v>
      </c>
      <c r="H199" s="9">
        <v>1300</v>
      </c>
      <c r="I199" s="10">
        <f t="shared" si="13"/>
        <v>29.851851851851851</v>
      </c>
      <c r="J199" s="10">
        <f t="shared" si="14"/>
        <v>31</v>
      </c>
      <c r="K199" s="11">
        <f t="shared" si="15"/>
        <v>0.61290322580645162</v>
      </c>
    </row>
    <row r="200" spans="1:11" x14ac:dyDescent="0.3">
      <c r="A200" s="8">
        <v>45310</v>
      </c>
      <c r="B200" s="9" t="s">
        <v>9</v>
      </c>
      <c r="C200" s="9" t="str">
        <f t="shared" si="12"/>
        <v>Campaign 199</v>
      </c>
      <c r="D200" s="9">
        <v>62</v>
      </c>
      <c r="E200" s="9">
        <v>8</v>
      </c>
      <c r="F200" s="9">
        <v>1282</v>
      </c>
      <c r="G200" s="9">
        <v>0.13</v>
      </c>
      <c r="H200" s="9">
        <v>400</v>
      </c>
      <c r="I200" s="10">
        <f t="shared" si="13"/>
        <v>20.677419354838708</v>
      </c>
      <c r="J200" s="10">
        <f t="shared" si="14"/>
        <v>160.25</v>
      </c>
      <c r="K200" s="11">
        <f t="shared" si="15"/>
        <v>-0.68798751950078008</v>
      </c>
    </row>
    <row r="201" spans="1:11" x14ac:dyDescent="0.3">
      <c r="A201" s="8">
        <v>45311</v>
      </c>
      <c r="B201" s="9" t="s">
        <v>9</v>
      </c>
      <c r="C201" s="9" t="str">
        <f t="shared" si="12"/>
        <v>Campaign 200</v>
      </c>
      <c r="D201" s="9">
        <v>33</v>
      </c>
      <c r="E201" s="9">
        <v>27</v>
      </c>
      <c r="F201" s="9">
        <v>282</v>
      </c>
      <c r="G201" s="9">
        <v>0.82</v>
      </c>
      <c r="H201" s="9">
        <v>1350</v>
      </c>
      <c r="I201" s="10">
        <f t="shared" si="13"/>
        <v>8.545454545454545</v>
      </c>
      <c r="J201" s="10">
        <f t="shared" si="14"/>
        <v>10.444444444444445</v>
      </c>
      <c r="K201" s="11">
        <f t="shared" si="15"/>
        <v>3.7872340425531914</v>
      </c>
    </row>
    <row r="202" spans="1:11" x14ac:dyDescent="0.3">
      <c r="A202" s="8">
        <v>45312</v>
      </c>
      <c r="B202" s="9" t="s">
        <v>9</v>
      </c>
      <c r="C202" s="9" t="str">
        <f t="shared" si="12"/>
        <v>Campaign 201</v>
      </c>
      <c r="D202" s="9">
        <v>133</v>
      </c>
      <c r="E202" s="9">
        <v>21</v>
      </c>
      <c r="F202" s="9">
        <v>1824</v>
      </c>
      <c r="G202" s="9">
        <v>0.16</v>
      </c>
      <c r="H202" s="9">
        <v>1050</v>
      </c>
      <c r="I202" s="10">
        <f t="shared" si="13"/>
        <v>13.714285714285714</v>
      </c>
      <c r="J202" s="10">
        <f t="shared" si="14"/>
        <v>86.857142857142861</v>
      </c>
      <c r="K202" s="11">
        <f t="shared" si="15"/>
        <v>-0.42434210526315791</v>
      </c>
    </row>
    <row r="203" spans="1:11" x14ac:dyDescent="0.3">
      <c r="A203" s="8">
        <v>45313</v>
      </c>
      <c r="B203" s="9" t="s">
        <v>9</v>
      </c>
      <c r="C203" s="9" t="str">
        <f t="shared" si="12"/>
        <v>Campaign 202</v>
      </c>
      <c r="D203" s="9">
        <v>148</v>
      </c>
      <c r="E203" s="9">
        <v>16</v>
      </c>
      <c r="F203" s="9">
        <v>398</v>
      </c>
      <c r="G203" s="9">
        <v>0.11</v>
      </c>
      <c r="H203" s="9">
        <v>800</v>
      </c>
      <c r="I203" s="10">
        <f t="shared" si="13"/>
        <v>2.689189189189189</v>
      </c>
      <c r="J203" s="10">
        <f t="shared" si="14"/>
        <v>24.875</v>
      </c>
      <c r="K203" s="11">
        <f t="shared" si="15"/>
        <v>1.0100502512562815</v>
      </c>
    </row>
    <row r="204" spans="1:11" x14ac:dyDescent="0.3">
      <c r="A204" s="8">
        <v>45314</v>
      </c>
      <c r="B204" s="9" t="s">
        <v>9</v>
      </c>
      <c r="C204" s="9" t="str">
        <f t="shared" si="12"/>
        <v>Campaign 203</v>
      </c>
      <c r="D204" s="9">
        <v>21</v>
      </c>
      <c r="E204" s="9">
        <v>13</v>
      </c>
      <c r="F204" s="9">
        <v>1732</v>
      </c>
      <c r="G204" s="9">
        <v>0.62</v>
      </c>
      <c r="H204" s="9">
        <v>650</v>
      </c>
      <c r="I204" s="10">
        <f t="shared" si="13"/>
        <v>82.476190476190482</v>
      </c>
      <c r="J204" s="10">
        <f t="shared" si="14"/>
        <v>133.23076923076923</v>
      </c>
      <c r="K204" s="11">
        <f t="shared" si="15"/>
        <v>-0.62471131639722866</v>
      </c>
    </row>
    <row r="205" spans="1:11" x14ac:dyDescent="0.3">
      <c r="A205" s="8">
        <v>45315</v>
      </c>
      <c r="B205" s="9" t="s">
        <v>9</v>
      </c>
      <c r="C205" s="9" t="str">
        <f t="shared" si="12"/>
        <v>Campaign 204</v>
      </c>
      <c r="D205" s="9">
        <v>32</v>
      </c>
      <c r="E205" s="9">
        <v>48</v>
      </c>
      <c r="F205" s="9">
        <v>1161</v>
      </c>
      <c r="G205" s="9">
        <v>1.5</v>
      </c>
      <c r="H205" s="9">
        <v>2400</v>
      </c>
      <c r="I205" s="10">
        <f t="shared" si="13"/>
        <v>36.28125</v>
      </c>
      <c r="J205" s="10">
        <f t="shared" si="14"/>
        <v>24.1875</v>
      </c>
      <c r="K205" s="11">
        <f t="shared" si="15"/>
        <v>1.0671834625322998</v>
      </c>
    </row>
    <row r="206" spans="1:11" x14ac:dyDescent="0.3">
      <c r="A206" s="8">
        <v>45316</v>
      </c>
      <c r="B206" s="9" t="s">
        <v>9</v>
      </c>
      <c r="C206" s="9" t="str">
        <f t="shared" si="12"/>
        <v>Campaign 205</v>
      </c>
      <c r="D206" s="9">
        <v>106</v>
      </c>
      <c r="E206" s="9">
        <v>43</v>
      </c>
      <c r="F206" s="9">
        <v>163</v>
      </c>
      <c r="G206" s="9">
        <v>0.41</v>
      </c>
      <c r="H206" s="9">
        <v>2150</v>
      </c>
      <c r="I206" s="10">
        <f t="shared" si="13"/>
        <v>1.5377358490566038</v>
      </c>
      <c r="J206" s="10">
        <f t="shared" si="14"/>
        <v>3.7906976744186047</v>
      </c>
      <c r="K206" s="11">
        <f t="shared" si="15"/>
        <v>12.190184049079754</v>
      </c>
    </row>
    <row r="207" spans="1:11" x14ac:dyDescent="0.3">
      <c r="A207" s="8">
        <v>45317</v>
      </c>
      <c r="B207" s="9" t="s">
        <v>9</v>
      </c>
      <c r="C207" s="9" t="str">
        <f t="shared" si="12"/>
        <v>Campaign 206</v>
      </c>
      <c r="D207" s="9">
        <v>87</v>
      </c>
      <c r="E207" s="9">
        <v>6</v>
      </c>
      <c r="F207" s="9">
        <v>202</v>
      </c>
      <c r="G207" s="9">
        <v>7.0000000000000007E-2</v>
      </c>
      <c r="H207" s="9">
        <v>300</v>
      </c>
      <c r="I207" s="10">
        <f t="shared" si="13"/>
        <v>2.3218390804597702</v>
      </c>
      <c r="J207" s="10">
        <f t="shared" si="14"/>
        <v>33.666666666666664</v>
      </c>
      <c r="K207" s="11">
        <f t="shared" si="15"/>
        <v>0.48514851485148514</v>
      </c>
    </row>
    <row r="208" spans="1:11" x14ac:dyDescent="0.3">
      <c r="A208" s="8">
        <v>45318</v>
      </c>
      <c r="B208" s="9" t="s">
        <v>9</v>
      </c>
      <c r="C208" s="9" t="str">
        <f t="shared" si="12"/>
        <v>Campaign 207</v>
      </c>
      <c r="D208" s="9">
        <v>104</v>
      </c>
      <c r="E208" s="9">
        <v>8</v>
      </c>
      <c r="F208" s="9">
        <v>1176</v>
      </c>
      <c r="G208" s="9">
        <v>0.08</v>
      </c>
      <c r="H208" s="9">
        <v>400</v>
      </c>
      <c r="I208" s="10">
        <f t="shared" si="13"/>
        <v>11.307692307692308</v>
      </c>
      <c r="J208" s="10">
        <f t="shared" si="14"/>
        <v>147</v>
      </c>
      <c r="K208" s="11">
        <f t="shared" si="15"/>
        <v>-0.65986394557823125</v>
      </c>
    </row>
    <row r="209" spans="1:11" x14ac:dyDescent="0.3">
      <c r="A209" s="8">
        <v>45319</v>
      </c>
      <c r="B209" s="9" t="s">
        <v>9</v>
      </c>
      <c r="C209" s="9" t="str">
        <f t="shared" si="12"/>
        <v>Campaign 208</v>
      </c>
      <c r="D209" s="9">
        <v>40</v>
      </c>
      <c r="E209" s="9">
        <v>28</v>
      </c>
      <c r="F209" s="9">
        <v>1823</v>
      </c>
      <c r="G209" s="9">
        <v>0.7</v>
      </c>
      <c r="H209" s="9">
        <v>1400</v>
      </c>
      <c r="I209" s="10">
        <f t="shared" si="13"/>
        <v>45.575000000000003</v>
      </c>
      <c r="J209" s="10">
        <f t="shared" si="14"/>
        <v>65.107142857142861</v>
      </c>
      <c r="K209" s="11">
        <f t="shared" si="15"/>
        <v>-0.23203510696653867</v>
      </c>
    </row>
    <row r="210" spans="1:11" x14ac:dyDescent="0.3">
      <c r="A210" s="8">
        <v>45320</v>
      </c>
      <c r="B210" s="9" t="s">
        <v>9</v>
      </c>
      <c r="C210" s="9" t="str">
        <f t="shared" si="12"/>
        <v>Campaign 209</v>
      </c>
      <c r="D210" s="9">
        <v>124</v>
      </c>
      <c r="E210" s="9">
        <v>19</v>
      </c>
      <c r="F210" s="9">
        <v>1082</v>
      </c>
      <c r="G210" s="9">
        <v>0.15</v>
      </c>
      <c r="H210" s="9">
        <v>950</v>
      </c>
      <c r="I210" s="10">
        <f t="shared" si="13"/>
        <v>8.7258064516129039</v>
      </c>
      <c r="J210" s="10">
        <f t="shared" si="14"/>
        <v>56.94736842105263</v>
      </c>
      <c r="K210" s="11">
        <f t="shared" si="15"/>
        <v>-0.12199630314232902</v>
      </c>
    </row>
    <row r="211" spans="1:11" x14ac:dyDescent="0.3">
      <c r="A211" s="8">
        <v>45321</v>
      </c>
      <c r="B211" s="9" t="s">
        <v>9</v>
      </c>
      <c r="C211" s="9" t="str">
        <f t="shared" si="12"/>
        <v>Campaign 210</v>
      </c>
      <c r="D211" s="9">
        <v>116</v>
      </c>
      <c r="E211" s="9">
        <v>42</v>
      </c>
      <c r="F211" s="9">
        <v>589</v>
      </c>
      <c r="G211" s="9">
        <v>0.36</v>
      </c>
      <c r="H211" s="9">
        <v>2100</v>
      </c>
      <c r="I211" s="10">
        <f t="shared" si="13"/>
        <v>5.0775862068965516</v>
      </c>
      <c r="J211" s="10">
        <f t="shared" si="14"/>
        <v>14.023809523809524</v>
      </c>
      <c r="K211" s="11">
        <f t="shared" si="15"/>
        <v>2.5653650254668929</v>
      </c>
    </row>
    <row r="212" spans="1:11" x14ac:dyDescent="0.3">
      <c r="A212" s="8">
        <v>45322</v>
      </c>
      <c r="B212" s="9" t="s">
        <v>9</v>
      </c>
      <c r="C212" s="9" t="str">
        <f t="shared" si="12"/>
        <v>Campaign 211</v>
      </c>
      <c r="D212" s="9">
        <v>129</v>
      </c>
      <c r="E212" s="9">
        <v>23</v>
      </c>
      <c r="F212" s="9">
        <v>1819</v>
      </c>
      <c r="G212" s="9">
        <v>0.18</v>
      </c>
      <c r="H212" s="9">
        <v>1150</v>
      </c>
      <c r="I212" s="10">
        <f t="shared" si="13"/>
        <v>14.10077519379845</v>
      </c>
      <c r="J212" s="10">
        <f t="shared" si="14"/>
        <v>79.086956521739125</v>
      </c>
      <c r="K212" s="11">
        <f t="shared" si="15"/>
        <v>-0.36778449697636062</v>
      </c>
    </row>
    <row r="213" spans="1:11" x14ac:dyDescent="0.3">
      <c r="A213" s="8">
        <v>45323</v>
      </c>
      <c r="B213" s="9" t="s">
        <v>9</v>
      </c>
      <c r="C213" s="9" t="str">
        <f t="shared" si="12"/>
        <v>Campaign 212</v>
      </c>
      <c r="D213" s="9">
        <v>94</v>
      </c>
      <c r="E213" s="9">
        <v>6</v>
      </c>
      <c r="F213" s="9">
        <v>656</v>
      </c>
      <c r="G213" s="9">
        <v>0.06</v>
      </c>
      <c r="H213" s="9">
        <v>300</v>
      </c>
      <c r="I213" s="10">
        <f t="shared" si="13"/>
        <v>6.9787234042553195</v>
      </c>
      <c r="J213" s="10">
        <f t="shared" si="14"/>
        <v>109.33333333333333</v>
      </c>
      <c r="K213" s="11">
        <f t="shared" si="15"/>
        <v>-0.54268292682926833</v>
      </c>
    </row>
    <row r="214" spans="1:11" x14ac:dyDescent="0.3">
      <c r="A214" s="8">
        <v>45324</v>
      </c>
      <c r="B214" s="9" t="s">
        <v>9</v>
      </c>
      <c r="C214" s="9" t="str">
        <f t="shared" si="12"/>
        <v>Campaign 213</v>
      </c>
      <c r="D214" s="9">
        <v>73</v>
      </c>
      <c r="E214" s="9">
        <v>33</v>
      </c>
      <c r="F214" s="9">
        <v>444</v>
      </c>
      <c r="G214" s="9">
        <v>0.45</v>
      </c>
      <c r="H214" s="9">
        <v>1650</v>
      </c>
      <c r="I214" s="10">
        <f t="shared" si="13"/>
        <v>6.0821917808219181</v>
      </c>
      <c r="J214" s="10">
        <f t="shared" si="14"/>
        <v>13.454545454545455</v>
      </c>
      <c r="K214" s="11">
        <f t="shared" si="15"/>
        <v>2.7162162162162162</v>
      </c>
    </row>
    <row r="215" spans="1:11" x14ac:dyDescent="0.3">
      <c r="A215" s="8">
        <v>45325</v>
      </c>
      <c r="B215" s="9" t="s">
        <v>9</v>
      </c>
      <c r="C215" s="9" t="str">
        <f t="shared" si="12"/>
        <v>Campaign 214</v>
      </c>
      <c r="D215" s="9">
        <v>85</v>
      </c>
      <c r="E215" s="9">
        <v>28</v>
      </c>
      <c r="F215" s="9">
        <v>210</v>
      </c>
      <c r="G215" s="9">
        <v>0.33</v>
      </c>
      <c r="H215" s="9">
        <v>1400</v>
      </c>
      <c r="I215" s="10">
        <f t="shared" si="13"/>
        <v>2.4705882352941178</v>
      </c>
      <c r="J215" s="10">
        <f t="shared" si="14"/>
        <v>7.5</v>
      </c>
      <c r="K215" s="11">
        <f t="shared" si="15"/>
        <v>5.666666666666667</v>
      </c>
    </row>
    <row r="216" spans="1:11" x14ac:dyDescent="0.3">
      <c r="A216" s="8">
        <v>45326</v>
      </c>
      <c r="B216" s="9" t="s">
        <v>9</v>
      </c>
      <c r="C216" s="9" t="str">
        <f t="shared" si="12"/>
        <v>Campaign 215</v>
      </c>
      <c r="D216" s="9">
        <v>66</v>
      </c>
      <c r="E216" s="9">
        <v>22</v>
      </c>
      <c r="F216" s="9">
        <v>841</v>
      </c>
      <c r="G216" s="9">
        <v>0.33</v>
      </c>
      <c r="H216" s="9">
        <v>1100</v>
      </c>
      <c r="I216" s="10">
        <f t="shared" si="13"/>
        <v>12.742424242424242</v>
      </c>
      <c r="J216" s="10">
        <f t="shared" si="14"/>
        <v>38.227272727272727</v>
      </c>
      <c r="K216" s="11">
        <f t="shared" si="15"/>
        <v>0.30796670630202139</v>
      </c>
    </row>
    <row r="217" spans="1:11" x14ac:dyDescent="0.3">
      <c r="A217" s="8">
        <v>45327</v>
      </c>
      <c r="B217" s="9" t="s">
        <v>9</v>
      </c>
      <c r="C217" s="9" t="str">
        <f t="shared" si="12"/>
        <v>Campaign 216</v>
      </c>
      <c r="D217" s="9">
        <v>100</v>
      </c>
      <c r="E217" s="9">
        <v>39</v>
      </c>
      <c r="F217" s="9">
        <v>1641</v>
      </c>
      <c r="G217" s="9">
        <v>0.39</v>
      </c>
      <c r="H217" s="9">
        <v>1950</v>
      </c>
      <c r="I217" s="10">
        <f t="shared" si="13"/>
        <v>16.41</v>
      </c>
      <c r="J217" s="10">
        <f t="shared" si="14"/>
        <v>42.07692307692308</v>
      </c>
      <c r="K217" s="11">
        <f t="shared" si="15"/>
        <v>0.1882998171846435</v>
      </c>
    </row>
    <row r="218" spans="1:11" x14ac:dyDescent="0.3">
      <c r="A218" s="8">
        <v>45328</v>
      </c>
      <c r="B218" s="9" t="s">
        <v>9</v>
      </c>
      <c r="C218" s="9" t="str">
        <f t="shared" si="12"/>
        <v>Campaign 217</v>
      </c>
      <c r="D218" s="9">
        <v>41</v>
      </c>
      <c r="E218" s="9">
        <v>29</v>
      </c>
      <c r="F218" s="9">
        <v>1672</v>
      </c>
      <c r="G218" s="9">
        <v>0.71</v>
      </c>
      <c r="H218" s="9">
        <v>1450</v>
      </c>
      <c r="I218" s="10">
        <f t="shared" si="13"/>
        <v>40.780487804878049</v>
      </c>
      <c r="J218" s="10">
        <f t="shared" si="14"/>
        <v>57.655172413793103</v>
      </c>
      <c r="K218" s="11">
        <f t="shared" si="15"/>
        <v>-0.13277511961722488</v>
      </c>
    </row>
    <row r="219" spans="1:11" x14ac:dyDescent="0.3">
      <c r="A219" s="8">
        <v>45329</v>
      </c>
      <c r="B219" s="9" t="s">
        <v>9</v>
      </c>
      <c r="C219" s="9" t="str">
        <f t="shared" si="12"/>
        <v>Campaign 218</v>
      </c>
      <c r="D219" s="9">
        <v>91</v>
      </c>
      <c r="E219" s="9">
        <v>13</v>
      </c>
      <c r="F219" s="9">
        <v>1626</v>
      </c>
      <c r="G219" s="9">
        <v>0.14000000000000001</v>
      </c>
      <c r="H219" s="9">
        <v>650</v>
      </c>
      <c r="I219" s="10">
        <f t="shared" si="13"/>
        <v>17.868131868131869</v>
      </c>
      <c r="J219" s="10">
        <f t="shared" si="14"/>
        <v>125.07692307692308</v>
      </c>
      <c r="K219" s="11">
        <f t="shared" si="15"/>
        <v>-0.60024600246002457</v>
      </c>
    </row>
    <row r="220" spans="1:11" x14ac:dyDescent="0.3">
      <c r="A220" s="8">
        <v>45330</v>
      </c>
      <c r="B220" s="9" t="s">
        <v>9</v>
      </c>
      <c r="C220" s="9" t="str">
        <f t="shared" si="12"/>
        <v>Campaign 219</v>
      </c>
      <c r="D220" s="9">
        <v>74</v>
      </c>
      <c r="E220" s="9">
        <v>22</v>
      </c>
      <c r="F220" s="9">
        <v>1135</v>
      </c>
      <c r="G220" s="9">
        <v>0.3</v>
      </c>
      <c r="H220" s="9">
        <v>1100</v>
      </c>
      <c r="I220" s="10">
        <f t="shared" si="13"/>
        <v>15.337837837837839</v>
      </c>
      <c r="J220" s="10">
        <f t="shared" si="14"/>
        <v>51.590909090909093</v>
      </c>
      <c r="K220" s="11">
        <f t="shared" si="15"/>
        <v>-3.0837004405286344E-2</v>
      </c>
    </row>
    <row r="221" spans="1:11" x14ac:dyDescent="0.3">
      <c r="A221" s="8">
        <v>45331</v>
      </c>
      <c r="B221" s="9" t="s">
        <v>9</v>
      </c>
      <c r="C221" s="9" t="str">
        <f t="shared" si="12"/>
        <v>Campaign 220</v>
      </c>
      <c r="D221" s="9">
        <v>48</v>
      </c>
      <c r="E221" s="9">
        <v>21</v>
      </c>
      <c r="F221" s="9">
        <v>1312</v>
      </c>
      <c r="G221" s="9">
        <v>0.44</v>
      </c>
      <c r="H221" s="9">
        <v>1050</v>
      </c>
      <c r="I221" s="10">
        <f t="shared" si="13"/>
        <v>27.333333333333332</v>
      </c>
      <c r="J221" s="10">
        <f t="shared" si="14"/>
        <v>62.476190476190474</v>
      </c>
      <c r="K221" s="11">
        <f t="shared" si="15"/>
        <v>-0.19969512195121952</v>
      </c>
    </row>
    <row r="222" spans="1:11" x14ac:dyDescent="0.3">
      <c r="A222" s="8">
        <v>45332</v>
      </c>
      <c r="B222" s="9" t="s">
        <v>9</v>
      </c>
      <c r="C222" s="9" t="str">
        <f t="shared" si="12"/>
        <v>Campaign 221</v>
      </c>
      <c r="D222" s="9">
        <v>43</v>
      </c>
      <c r="E222" s="9">
        <v>24</v>
      </c>
      <c r="F222" s="9">
        <v>1129</v>
      </c>
      <c r="G222" s="9">
        <v>0.56000000000000005</v>
      </c>
      <c r="H222" s="9">
        <v>1200</v>
      </c>
      <c r="I222" s="10">
        <f t="shared" si="13"/>
        <v>26.255813953488371</v>
      </c>
      <c r="J222" s="10">
        <f t="shared" si="14"/>
        <v>47.041666666666664</v>
      </c>
      <c r="K222" s="11">
        <f t="shared" si="15"/>
        <v>6.2887511071744909E-2</v>
      </c>
    </row>
    <row r="223" spans="1:11" x14ac:dyDescent="0.3">
      <c r="A223" s="8">
        <v>45333</v>
      </c>
      <c r="B223" s="9" t="s">
        <v>9</v>
      </c>
      <c r="C223" s="9" t="str">
        <f t="shared" si="12"/>
        <v>Campaign 222</v>
      </c>
      <c r="D223" s="9">
        <v>74</v>
      </c>
      <c r="E223" s="9">
        <v>37</v>
      </c>
      <c r="F223" s="9">
        <v>1471</v>
      </c>
      <c r="G223" s="9">
        <v>0.5</v>
      </c>
      <c r="H223" s="9">
        <v>1850</v>
      </c>
      <c r="I223" s="10">
        <f t="shared" si="13"/>
        <v>19.878378378378379</v>
      </c>
      <c r="J223" s="10">
        <f t="shared" si="14"/>
        <v>39.756756756756758</v>
      </c>
      <c r="K223" s="11">
        <f t="shared" si="15"/>
        <v>0.25764785859959211</v>
      </c>
    </row>
    <row r="224" spans="1:11" x14ac:dyDescent="0.3">
      <c r="A224" s="8">
        <v>45334</v>
      </c>
      <c r="B224" s="9" t="s">
        <v>9</v>
      </c>
      <c r="C224" s="9" t="str">
        <f t="shared" si="12"/>
        <v>Campaign 223</v>
      </c>
      <c r="D224" s="9">
        <v>41</v>
      </c>
      <c r="E224" s="9">
        <v>14</v>
      </c>
      <c r="F224" s="9">
        <v>570</v>
      </c>
      <c r="G224" s="9">
        <v>0.34</v>
      </c>
      <c r="H224" s="9">
        <v>700</v>
      </c>
      <c r="I224" s="10">
        <f t="shared" si="13"/>
        <v>13.902439024390244</v>
      </c>
      <c r="J224" s="10">
        <f t="shared" si="14"/>
        <v>40.714285714285715</v>
      </c>
      <c r="K224" s="11">
        <f t="shared" si="15"/>
        <v>0.22807017543859648</v>
      </c>
    </row>
    <row r="225" spans="1:11" x14ac:dyDescent="0.3">
      <c r="A225" s="8">
        <v>45335</v>
      </c>
      <c r="B225" s="9" t="s">
        <v>9</v>
      </c>
      <c r="C225" s="9" t="str">
        <f t="shared" si="12"/>
        <v>Campaign 224</v>
      </c>
      <c r="D225" s="9">
        <v>42</v>
      </c>
      <c r="E225" s="9">
        <v>40</v>
      </c>
      <c r="F225" s="9">
        <v>109</v>
      </c>
      <c r="G225" s="9">
        <v>0.95</v>
      </c>
      <c r="H225" s="9">
        <v>2000</v>
      </c>
      <c r="I225" s="10">
        <f t="shared" si="13"/>
        <v>2.5952380952380953</v>
      </c>
      <c r="J225" s="10">
        <f t="shared" si="14"/>
        <v>2.7250000000000001</v>
      </c>
      <c r="K225" s="11">
        <f t="shared" si="15"/>
        <v>17.348623853211009</v>
      </c>
    </row>
    <row r="226" spans="1:11" x14ac:dyDescent="0.3">
      <c r="A226" s="8">
        <v>45336</v>
      </c>
      <c r="B226" s="9" t="s">
        <v>9</v>
      </c>
      <c r="C226" s="9" t="str">
        <f t="shared" si="12"/>
        <v>Campaign 225</v>
      </c>
      <c r="D226" s="9">
        <v>110</v>
      </c>
      <c r="E226" s="9">
        <v>24</v>
      </c>
      <c r="F226" s="9">
        <v>354</v>
      </c>
      <c r="G226" s="9">
        <v>0.22</v>
      </c>
      <c r="H226" s="9">
        <v>1200</v>
      </c>
      <c r="I226" s="10">
        <f t="shared" si="13"/>
        <v>3.2181818181818183</v>
      </c>
      <c r="J226" s="10">
        <f t="shared" si="14"/>
        <v>14.75</v>
      </c>
      <c r="K226" s="11">
        <f t="shared" si="15"/>
        <v>2.3898305084745761</v>
      </c>
    </row>
    <row r="227" spans="1:11" x14ac:dyDescent="0.3">
      <c r="A227" s="8">
        <v>45337</v>
      </c>
      <c r="B227" s="9" t="s">
        <v>9</v>
      </c>
      <c r="C227" s="9" t="str">
        <f t="shared" si="12"/>
        <v>Campaign 226</v>
      </c>
      <c r="D227" s="9">
        <v>26</v>
      </c>
      <c r="E227" s="9">
        <v>42</v>
      </c>
      <c r="F227" s="9">
        <v>1636</v>
      </c>
      <c r="G227" s="9">
        <v>1.62</v>
      </c>
      <c r="H227" s="9">
        <v>2100</v>
      </c>
      <c r="I227" s="10">
        <f t="shared" si="13"/>
        <v>62.92307692307692</v>
      </c>
      <c r="J227" s="10">
        <f t="shared" si="14"/>
        <v>38.952380952380949</v>
      </c>
      <c r="K227" s="11">
        <f t="shared" si="15"/>
        <v>0.28361858190709044</v>
      </c>
    </row>
    <row r="228" spans="1:11" x14ac:dyDescent="0.3">
      <c r="A228" s="8">
        <v>45338</v>
      </c>
      <c r="B228" s="9" t="s">
        <v>9</v>
      </c>
      <c r="C228" s="9" t="str">
        <f t="shared" si="12"/>
        <v>Campaign 227</v>
      </c>
      <c r="D228" s="9">
        <v>39</v>
      </c>
      <c r="E228" s="9">
        <v>47</v>
      </c>
      <c r="F228" s="9">
        <v>636</v>
      </c>
      <c r="G228" s="9">
        <v>1.21</v>
      </c>
      <c r="H228" s="9">
        <v>2350</v>
      </c>
      <c r="I228" s="10">
        <f t="shared" si="13"/>
        <v>16.307692307692307</v>
      </c>
      <c r="J228" s="10">
        <f t="shared" si="14"/>
        <v>13.531914893617021</v>
      </c>
      <c r="K228" s="11">
        <f t="shared" si="15"/>
        <v>2.6949685534591197</v>
      </c>
    </row>
    <row r="229" spans="1:11" x14ac:dyDescent="0.3">
      <c r="A229" s="8">
        <v>45339</v>
      </c>
      <c r="B229" s="9" t="s">
        <v>9</v>
      </c>
      <c r="C229" s="9" t="str">
        <f t="shared" si="12"/>
        <v>Campaign 228</v>
      </c>
      <c r="D229" s="9">
        <v>50</v>
      </c>
      <c r="E229" s="9">
        <v>13</v>
      </c>
      <c r="F229" s="9">
        <v>1434</v>
      </c>
      <c r="G229" s="9">
        <v>0.26</v>
      </c>
      <c r="H229" s="9">
        <v>650</v>
      </c>
      <c r="I229" s="10">
        <f t="shared" si="13"/>
        <v>28.68</v>
      </c>
      <c r="J229" s="10">
        <f t="shared" si="14"/>
        <v>110.30769230769231</v>
      </c>
      <c r="K229" s="11">
        <f t="shared" si="15"/>
        <v>-0.54672245467224545</v>
      </c>
    </row>
    <row r="230" spans="1:11" x14ac:dyDescent="0.3">
      <c r="A230" s="8">
        <v>45340</v>
      </c>
      <c r="B230" s="9" t="s">
        <v>9</v>
      </c>
      <c r="C230" s="9" t="str">
        <f t="shared" si="12"/>
        <v>Campaign 229</v>
      </c>
      <c r="D230" s="9">
        <v>116</v>
      </c>
      <c r="E230" s="9">
        <v>21</v>
      </c>
      <c r="F230" s="9">
        <v>1265</v>
      </c>
      <c r="G230" s="9">
        <v>0.18</v>
      </c>
      <c r="H230" s="9">
        <v>1050</v>
      </c>
      <c r="I230" s="10">
        <f t="shared" si="13"/>
        <v>10.905172413793103</v>
      </c>
      <c r="J230" s="10">
        <f t="shared" si="14"/>
        <v>60.238095238095241</v>
      </c>
      <c r="K230" s="11">
        <f t="shared" si="15"/>
        <v>-0.16996047430830039</v>
      </c>
    </row>
    <row r="231" spans="1:11" x14ac:dyDescent="0.3">
      <c r="A231" s="8">
        <v>45341</v>
      </c>
      <c r="B231" s="9" t="s">
        <v>9</v>
      </c>
      <c r="C231" s="9" t="str">
        <f t="shared" si="12"/>
        <v>Campaign 230</v>
      </c>
      <c r="D231" s="9">
        <v>39</v>
      </c>
      <c r="E231" s="9">
        <v>9</v>
      </c>
      <c r="F231" s="9">
        <v>342</v>
      </c>
      <c r="G231" s="9">
        <v>0.23</v>
      </c>
      <c r="H231" s="9">
        <v>450</v>
      </c>
      <c r="I231" s="10">
        <f t="shared" si="13"/>
        <v>8.7692307692307701</v>
      </c>
      <c r="J231" s="10">
        <f t="shared" si="14"/>
        <v>38</v>
      </c>
      <c r="K231" s="11">
        <f t="shared" si="15"/>
        <v>0.31578947368421051</v>
      </c>
    </row>
    <row r="232" spans="1:11" x14ac:dyDescent="0.3">
      <c r="A232" s="8">
        <v>45342</v>
      </c>
      <c r="B232" s="9" t="s">
        <v>9</v>
      </c>
      <c r="C232" s="9" t="str">
        <f t="shared" si="12"/>
        <v>Campaign 231</v>
      </c>
      <c r="D232" s="9">
        <v>48</v>
      </c>
      <c r="E232" s="9">
        <v>15</v>
      </c>
      <c r="F232" s="9">
        <v>1091</v>
      </c>
      <c r="G232" s="9">
        <v>0.31</v>
      </c>
      <c r="H232" s="9">
        <v>750</v>
      </c>
      <c r="I232" s="10">
        <f t="shared" si="13"/>
        <v>22.729166666666668</v>
      </c>
      <c r="J232" s="10">
        <f t="shared" si="14"/>
        <v>72.733333333333334</v>
      </c>
      <c r="K232" s="11">
        <f t="shared" si="15"/>
        <v>-0.31255728689275891</v>
      </c>
    </row>
    <row r="233" spans="1:11" x14ac:dyDescent="0.3">
      <c r="A233" s="8">
        <v>45343</v>
      </c>
      <c r="B233" s="9" t="s">
        <v>9</v>
      </c>
      <c r="C233" s="9" t="str">
        <f t="shared" si="12"/>
        <v>Campaign 232</v>
      </c>
      <c r="D233" s="9">
        <v>34</v>
      </c>
      <c r="E233" s="9">
        <v>25</v>
      </c>
      <c r="F233" s="9">
        <v>1013</v>
      </c>
      <c r="G233" s="9">
        <v>0.74</v>
      </c>
      <c r="H233" s="9">
        <v>1250</v>
      </c>
      <c r="I233" s="10">
        <f t="shared" si="13"/>
        <v>29.794117647058822</v>
      </c>
      <c r="J233" s="10">
        <f t="shared" si="14"/>
        <v>40.520000000000003</v>
      </c>
      <c r="K233" s="11">
        <f t="shared" si="15"/>
        <v>0.23395853899308983</v>
      </c>
    </row>
    <row r="234" spans="1:11" x14ac:dyDescent="0.3">
      <c r="A234" s="8">
        <v>45344</v>
      </c>
      <c r="B234" s="9" t="s">
        <v>9</v>
      </c>
      <c r="C234" s="9" t="str">
        <f t="shared" si="12"/>
        <v>Campaign 233</v>
      </c>
      <c r="D234" s="9">
        <v>118</v>
      </c>
      <c r="E234" s="9">
        <v>34</v>
      </c>
      <c r="F234" s="9">
        <v>506</v>
      </c>
      <c r="G234" s="9">
        <v>0.28999999999999998</v>
      </c>
      <c r="H234" s="9">
        <v>1700</v>
      </c>
      <c r="I234" s="10">
        <f t="shared" si="13"/>
        <v>4.2881355932203391</v>
      </c>
      <c r="J234" s="10">
        <f t="shared" si="14"/>
        <v>14.882352941176471</v>
      </c>
      <c r="K234" s="11">
        <f t="shared" si="15"/>
        <v>2.3596837944664033</v>
      </c>
    </row>
    <row r="235" spans="1:11" x14ac:dyDescent="0.3">
      <c r="A235" s="8">
        <v>45345</v>
      </c>
      <c r="B235" s="9" t="s">
        <v>9</v>
      </c>
      <c r="C235" s="9" t="str">
        <f t="shared" si="12"/>
        <v>Campaign 234</v>
      </c>
      <c r="D235" s="9">
        <v>67</v>
      </c>
      <c r="E235" s="9">
        <v>6</v>
      </c>
      <c r="F235" s="9">
        <v>770</v>
      </c>
      <c r="G235" s="9">
        <v>0.09</v>
      </c>
      <c r="H235" s="9">
        <v>300</v>
      </c>
      <c r="I235" s="10">
        <f t="shared" si="13"/>
        <v>11.492537313432836</v>
      </c>
      <c r="J235" s="10">
        <f t="shared" si="14"/>
        <v>128.33333333333334</v>
      </c>
      <c r="K235" s="11">
        <f t="shared" si="15"/>
        <v>-0.61038961038961037</v>
      </c>
    </row>
    <row r="236" spans="1:11" x14ac:dyDescent="0.3">
      <c r="A236" s="8">
        <v>45346</v>
      </c>
      <c r="B236" s="9" t="s">
        <v>9</v>
      </c>
      <c r="C236" s="9" t="str">
        <f t="shared" si="12"/>
        <v>Campaign 235</v>
      </c>
      <c r="D236" s="9">
        <v>43</v>
      </c>
      <c r="E236" s="9">
        <v>31</v>
      </c>
      <c r="F236" s="9">
        <v>1927</v>
      </c>
      <c r="G236" s="9">
        <v>0.72</v>
      </c>
      <c r="H236" s="9">
        <v>1550</v>
      </c>
      <c r="I236" s="10">
        <f t="shared" si="13"/>
        <v>44.813953488372093</v>
      </c>
      <c r="J236" s="10">
        <f t="shared" si="14"/>
        <v>62.161290322580648</v>
      </c>
      <c r="K236" s="11">
        <f t="shared" si="15"/>
        <v>-0.19564089257913855</v>
      </c>
    </row>
    <row r="237" spans="1:11" x14ac:dyDescent="0.3">
      <c r="A237" s="8">
        <v>45347</v>
      </c>
      <c r="B237" s="9" t="s">
        <v>9</v>
      </c>
      <c r="C237" s="9" t="str">
        <f t="shared" si="12"/>
        <v>Campaign 236</v>
      </c>
      <c r="D237" s="9">
        <v>72</v>
      </c>
      <c r="E237" s="9">
        <v>37</v>
      </c>
      <c r="F237" s="9">
        <v>1448</v>
      </c>
      <c r="G237" s="9">
        <v>0.51</v>
      </c>
      <c r="H237" s="9">
        <v>1850</v>
      </c>
      <c r="I237" s="10">
        <f t="shared" si="13"/>
        <v>20.111111111111111</v>
      </c>
      <c r="J237" s="10">
        <f t="shared" si="14"/>
        <v>39.135135135135137</v>
      </c>
      <c r="K237" s="11">
        <f t="shared" si="15"/>
        <v>0.27762430939226518</v>
      </c>
    </row>
    <row r="238" spans="1:11" x14ac:dyDescent="0.3">
      <c r="A238" s="8">
        <v>45348</v>
      </c>
      <c r="B238" s="9" t="s">
        <v>9</v>
      </c>
      <c r="C238" s="9" t="str">
        <f t="shared" si="12"/>
        <v>Campaign 237</v>
      </c>
      <c r="D238" s="9">
        <v>34</v>
      </c>
      <c r="E238" s="9">
        <v>19</v>
      </c>
      <c r="F238" s="9">
        <v>1405</v>
      </c>
      <c r="G238" s="9">
        <v>0.56000000000000005</v>
      </c>
      <c r="H238" s="9">
        <v>950</v>
      </c>
      <c r="I238" s="10">
        <f t="shared" si="13"/>
        <v>41.323529411764703</v>
      </c>
      <c r="J238" s="10">
        <f t="shared" si="14"/>
        <v>73.94736842105263</v>
      </c>
      <c r="K238" s="11">
        <f t="shared" si="15"/>
        <v>-0.32384341637010677</v>
      </c>
    </row>
    <row r="239" spans="1:11" x14ac:dyDescent="0.3">
      <c r="A239" s="8">
        <v>45349</v>
      </c>
      <c r="B239" s="9" t="s">
        <v>9</v>
      </c>
      <c r="C239" s="9" t="str">
        <f t="shared" si="12"/>
        <v>Campaign 238</v>
      </c>
      <c r="D239" s="9">
        <v>38</v>
      </c>
      <c r="E239" s="9">
        <v>36</v>
      </c>
      <c r="F239" s="9">
        <v>1869</v>
      </c>
      <c r="G239" s="9">
        <v>0.95</v>
      </c>
      <c r="H239" s="9">
        <v>1800</v>
      </c>
      <c r="I239" s="10">
        <f t="shared" si="13"/>
        <v>49.184210526315788</v>
      </c>
      <c r="J239" s="10">
        <f t="shared" si="14"/>
        <v>51.916666666666664</v>
      </c>
      <c r="K239" s="11">
        <f t="shared" si="15"/>
        <v>-3.691813804173355E-2</v>
      </c>
    </row>
    <row r="240" spans="1:11" x14ac:dyDescent="0.3">
      <c r="A240" s="8">
        <v>45350</v>
      </c>
      <c r="B240" s="9" t="s">
        <v>9</v>
      </c>
      <c r="C240" s="9" t="str">
        <f t="shared" si="12"/>
        <v>Campaign 239</v>
      </c>
      <c r="D240" s="9">
        <v>78</v>
      </c>
      <c r="E240" s="9">
        <v>46</v>
      </c>
      <c r="F240" s="9">
        <v>754</v>
      </c>
      <c r="G240" s="9">
        <v>0.59</v>
      </c>
      <c r="H240" s="9">
        <v>2300</v>
      </c>
      <c r="I240" s="10">
        <f t="shared" si="13"/>
        <v>9.6666666666666661</v>
      </c>
      <c r="J240" s="10">
        <f t="shared" si="14"/>
        <v>16.391304347826086</v>
      </c>
      <c r="K240" s="11">
        <f t="shared" si="15"/>
        <v>2.0503978779840848</v>
      </c>
    </row>
    <row r="241" spans="1:11" x14ac:dyDescent="0.3">
      <c r="A241" s="8">
        <v>45351</v>
      </c>
      <c r="B241" s="9" t="s">
        <v>9</v>
      </c>
      <c r="C241" s="9" t="str">
        <f t="shared" si="12"/>
        <v>Campaign 240</v>
      </c>
      <c r="D241" s="9">
        <v>51</v>
      </c>
      <c r="E241" s="9">
        <v>28</v>
      </c>
      <c r="F241" s="9">
        <v>1214</v>
      </c>
      <c r="G241" s="9">
        <v>0.55000000000000004</v>
      </c>
      <c r="H241" s="9">
        <v>1400</v>
      </c>
      <c r="I241" s="10">
        <f t="shared" si="13"/>
        <v>23.803921568627452</v>
      </c>
      <c r="J241" s="10">
        <f t="shared" si="14"/>
        <v>43.357142857142854</v>
      </c>
      <c r="K241" s="11">
        <f t="shared" si="15"/>
        <v>0.15321252059308071</v>
      </c>
    </row>
    <row r="242" spans="1:11" x14ac:dyDescent="0.3">
      <c r="A242" s="8">
        <v>45352</v>
      </c>
      <c r="B242" s="9" t="s">
        <v>9</v>
      </c>
      <c r="C242" s="9" t="str">
        <f t="shared" si="12"/>
        <v>Campaign 241</v>
      </c>
      <c r="D242" s="9">
        <v>99</v>
      </c>
      <c r="E242" s="9">
        <v>21</v>
      </c>
      <c r="F242" s="9">
        <v>1143</v>
      </c>
      <c r="G242" s="9">
        <v>0.21</v>
      </c>
      <c r="H242" s="9">
        <v>1050</v>
      </c>
      <c r="I242" s="10">
        <f t="shared" si="13"/>
        <v>11.545454545454545</v>
      </c>
      <c r="J242" s="10">
        <f t="shared" si="14"/>
        <v>54.428571428571431</v>
      </c>
      <c r="K242" s="11">
        <f t="shared" si="15"/>
        <v>-8.1364829396325458E-2</v>
      </c>
    </row>
    <row r="243" spans="1:11" x14ac:dyDescent="0.3">
      <c r="A243" s="8">
        <v>45353</v>
      </c>
      <c r="B243" s="9" t="s">
        <v>9</v>
      </c>
      <c r="C243" s="9" t="str">
        <f t="shared" si="12"/>
        <v>Campaign 242</v>
      </c>
      <c r="D243" s="9">
        <v>102</v>
      </c>
      <c r="E243" s="9">
        <v>8</v>
      </c>
      <c r="F243" s="9">
        <v>1236</v>
      </c>
      <c r="G243" s="9">
        <v>0.08</v>
      </c>
      <c r="H243" s="9">
        <v>400</v>
      </c>
      <c r="I243" s="10">
        <f t="shared" si="13"/>
        <v>12.117647058823529</v>
      </c>
      <c r="J243" s="10">
        <f t="shared" si="14"/>
        <v>154.5</v>
      </c>
      <c r="K243" s="11">
        <f t="shared" si="15"/>
        <v>-0.6763754045307443</v>
      </c>
    </row>
    <row r="244" spans="1:11" x14ac:dyDescent="0.3">
      <c r="A244" s="8">
        <v>45354</v>
      </c>
      <c r="B244" s="9" t="s">
        <v>9</v>
      </c>
      <c r="C244" s="9" t="str">
        <f t="shared" si="12"/>
        <v>Campaign 243</v>
      </c>
      <c r="D244" s="9">
        <v>46</v>
      </c>
      <c r="E244" s="9">
        <v>43</v>
      </c>
      <c r="F244" s="9">
        <v>1509</v>
      </c>
      <c r="G244" s="9">
        <v>0.93</v>
      </c>
      <c r="H244" s="9">
        <v>2150</v>
      </c>
      <c r="I244" s="10">
        <f t="shared" si="13"/>
        <v>32.804347826086953</v>
      </c>
      <c r="J244" s="10">
        <f t="shared" si="14"/>
        <v>35.093023255813954</v>
      </c>
      <c r="K244" s="11">
        <f t="shared" si="15"/>
        <v>0.42478462557985419</v>
      </c>
    </row>
    <row r="245" spans="1:11" x14ac:dyDescent="0.3">
      <c r="A245" s="8">
        <v>45355</v>
      </c>
      <c r="B245" s="9" t="s">
        <v>9</v>
      </c>
      <c r="C245" s="9" t="str">
        <f t="shared" si="12"/>
        <v>Campaign 244</v>
      </c>
      <c r="D245" s="9">
        <v>147</v>
      </c>
      <c r="E245" s="9">
        <v>46</v>
      </c>
      <c r="F245" s="9">
        <v>1243</v>
      </c>
      <c r="G245" s="9">
        <v>0.31</v>
      </c>
      <c r="H245" s="9">
        <v>2300</v>
      </c>
      <c r="I245" s="10">
        <f t="shared" si="13"/>
        <v>8.4557823129251695</v>
      </c>
      <c r="J245" s="10">
        <f t="shared" si="14"/>
        <v>27.021739130434781</v>
      </c>
      <c r="K245" s="11">
        <f t="shared" si="15"/>
        <v>0.85036202735317779</v>
      </c>
    </row>
    <row r="246" spans="1:11" x14ac:dyDescent="0.3">
      <c r="A246" s="8">
        <v>45356</v>
      </c>
      <c r="B246" s="9" t="s">
        <v>9</v>
      </c>
      <c r="C246" s="9" t="str">
        <f t="shared" si="12"/>
        <v>Campaign 245</v>
      </c>
      <c r="D246" s="9">
        <v>106</v>
      </c>
      <c r="E246" s="9">
        <v>42</v>
      </c>
      <c r="F246" s="9">
        <v>1444</v>
      </c>
      <c r="G246" s="9">
        <v>0.4</v>
      </c>
      <c r="H246" s="9">
        <v>2100</v>
      </c>
      <c r="I246" s="10">
        <f t="shared" si="13"/>
        <v>13.622641509433961</v>
      </c>
      <c r="J246" s="10">
        <f t="shared" si="14"/>
        <v>34.38095238095238</v>
      </c>
      <c r="K246" s="11">
        <f t="shared" si="15"/>
        <v>0.45429362880886426</v>
      </c>
    </row>
    <row r="247" spans="1:11" x14ac:dyDescent="0.3">
      <c r="A247" s="8">
        <v>45357</v>
      </c>
      <c r="B247" s="9" t="s">
        <v>9</v>
      </c>
      <c r="C247" s="9" t="str">
        <f t="shared" si="12"/>
        <v>Campaign 246</v>
      </c>
      <c r="D247" s="9">
        <v>55</v>
      </c>
      <c r="E247" s="9">
        <v>30</v>
      </c>
      <c r="F247" s="9">
        <v>1462</v>
      </c>
      <c r="G247" s="9">
        <v>0.55000000000000004</v>
      </c>
      <c r="H247" s="9">
        <v>1500</v>
      </c>
      <c r="I247" s="10">
        <f t="shared" si="13"/>
        <v>26.581818181818182</v>
      </c>
      <c r="J247" s="10">
        <f t="shared" si="14"/>
        <v>48.733333333333334</v>
      </c>
      <c r="K247" s="11">
        <f t="shared" si="15"/>
        <v>2.5991792065663474E-2</v>
      </c>
    </row>
    <row r="248" spans="1:11" x14ac:dyDescent="0.3">
      <c r="A248" s="8">
        <v>45358</v>
      </c>
      <c r="B248" s="9" t="s">
        <v>9</v>
      </c>
      <c r="C248" s="9" t="str">
        <f t="shared" si="12"/>
        <v>Campaign 247</v>
      </c>
      <c r="D248" s="9">
        <v>38</v>
      </c>
      <c r="E248" s="9">
        <v>19</v>
      </c>
      <c r="F248" s="9">
        <v>558</v>
      </c>
      <c r="G248" s="9">
        <v>0.5</v>
      </c>
      <c r="H248" s="9">
        <v>950</v>
      </c>
      <c r="I248" s="10">
        <f t="shared" si="13"/>
        <v>14.684210526315789</v>
      </c>
      <c r="J248" s="10">
        <f t="shared" si="14"/>
        <v>29.368421052631579</v>
      </c>
      <c r="K248" s="11">
        <f t="shared" si="15"/>
        <v>0.70250896057347667</v>
      </c>
    </row>
    <row r="249" spans="1:11" x14ac:dyDescent="0.3">
      <c r="A249" s="8">
        <v>45359</v>
      </c>
      <c r="B249" s="9" t="s">
        <v>9</v>
      </c>
      <c r="C249" s="9" t="str">
        <f t="shared" si="12"/>
        <v>Campaign 248</v>
      </c>
      <c r="D249" s="9">
        <v>122</v>
      </c>
      <c r="E249" s="9">
        <v>39</v>
      </c>
      <c r="F249" s="9">
        <v>227</v>
      </c>
      <c r="G249" s="9">
        <v>0.32</v>
      </c>
      <c r="H249" s="9">
        <v>1950</v>
      </c>
      <c r="I249" s="10">
        <f t="shared" si="13"/>
        <v>1.860655737704918</v>
      </c>
      <c r="J249" s="10">
        <f t="shared" si="14"/>
        <v>5.8205128205128203</v>
      </c>
      <c r="K249" s="11">
        <f t="shared" si="15"/>
        <v>7.5903083700440526</v>
      </c>
    </row>
    <row r="250" spans="1:11" x14ac:dyDescent="0.3">
      <c r="A250" s="8">
        <v>45360</v>
      </c>
      <c r="B250" s="9" t="s">
        <v>9</v>
      </c>
      <c r="C250" s="9" t="str">
        <f t="shared" si="12"/>
        <v>Campaign 249</v>
      </c>
      <c r="D250" s="9">
        <v>139</v>
      </c>
      <c r="E250" s="9">
        <v>17</v>
      </c>
      <c r="F250" s="9">
        <v>823</v>
      </c>
      <c r="G250" s="9">
        <v>0.12</v>
      </c>
      <c r="H250" s="9">
        <v>850</v>
      </c>
      <c r="I250" s="10">
        <f t="shared" si="13"/>
        <v>5.9208633093525176</v>
      </c>
      <c r="J250" s="10">
        <f t="shared" si="14"/>
        <v>48.411764705882355</v>
      </c>
      <c r="K250" s="11">
        <f t="shared" si="15"/>
        <v>3.2806804374240585E-2</v>
      </c>
    </row>
    <row r="251" spans="1:11" x14ac:dyDescent="0.3">
      <c r="A251" s="8">
        <v>45361</v>
      </c>
      <c r="B251" s="9" t="s">
        <v>9</v>
      </c>
      <c r="C251" s="9" t="str">
        <f t="shared" si="12"/>
        <v>Campaign 250</v>
      </c>
      <c r="D251" s="9">
        <v>46</v>
      </c>
      <c r="E251" s="9">
        <v>42</v>
      </c>
      <c r="F251" s="9">
        <v>1603</v>
      </c>
      <c r="G251" s="9">
        <v>0.91</v>
      </c>
      <c r="H251" s="9">
        <v>2100</v>
      </c>
      <c r="I251" s="10">
        <f t="shared" si="13"/>
        <v>34.847826086956523</v>
      </c>
      <c r="J251" s="10">
        <f t="shared" si="14"/>
        <v>38.166666666666664</v>
      </c>
      <c r="K251" s="11">
        <f t="shared" si="15"/>
        <v>0.31004366812227074</v>
      </c>
    </row>
    <row r="252" spans="1:11" x14ac:dyDescent="0.3">
      <c r="A252" s="8">
        <v>45362</v>
      </c>
      <c r="B252" s="9" t="s">
        <v>9</v>
      </c>
      <c r="C252" s="9" t="str">
        <f t="shared" si="12"/>
        <v>Campaign 251</v>
      </c>
      <c r="D252" s="9">
        <v>70</v>
      </c>
      <c r="E252" s="9">
        <v>48</v>
      </c>
      <c r="F252" s="9">
        <v>509</v>
      </c>
      <c r="G252" s="9">
        <v>0.69</v>
      </c>
      <c r="H252" s="9">
        <v>2400</v>
      </c>
      <c r="I252" s="10">
        <f t="shared" si="13"/>
        <v>7.2714285714285714</v>
      </c>
      <c r="J252" s="10">
        <f t="shared" si="14"/>
        <v>10.604166666666666</v>
      </c>
      <c r="K252" s="11">
        <f t="shared" si="15"/>
        <v>3.7151277013752457</v>
      </c>
    </row>
    <row r="253" spans="1:11" x14ac:dyDescent="0.3">
      <c r="A253" s="8">
        <v>45363</v>
      </c>
      <c r="B253" s="9" t="s">
        <v>9</v>
      </c>
      <c r="C253" s="9" t="str">
        <f t="shared" si="12"/>
        <v>Campaign 252</v>
      </c>
      <c r="D253" s="9">
        <v>101</v>
      </c>
      <c r="E253" s="9">
        <v>17</v>
      </c>
      <c r="F253" s="9">
        <v>808</v>
      </c>
      <c r="G253" s="9">
        <v>0.17</v>
      </c>
      <c r="H253" s="9">
        <v>850</v>
      </c>
      <c r="I253" s="10">
        <f t="shared" si="13"/>
        <v>8</v>
      </c>
      <c r="J253" s="10">
        <f t="shared" si="14"/>
        <v>47.529411764705884</v>
      </c>
      <c r="K253" s="11">
        <f t="shared" si="15"/>
        <v>5.1980198019801978E-2</v>
      </c>
    </row>
    <row r="254" spans="1:11" x14ac:dyDescent="0.3">
      <c r="A254" s="8">
        <v>45364</v>
      </c>
      <c r="B254" s="9" t="s">
        <v>9</v>
      </c>
      <c r="C254" s="9" t="str">
        <f t="shared" si="12"/>
        <v>Campaign 253</v>
      </c>
      <c r="D254" s="9">
        <v>146</v>
      </c>
      <c r="E254" s="9">
        <v>18</v>
      </c>
      <c r="F254" s="9">
        <v>637</v>
      </c>
      <c r="G254" s="9">
        <v>0.12</v>
      </c>
      <c r="H254" s="9">
        <v>900</v>
      </c>
      <c r="I254" s="10">
        <f t="shared" si="13"/>
        <v>4.3630136986301373</v>
      </c>
      <c r="J254" s="10">
        <f t="shared" si="14"/>
        <v>35.388888888888886</v>
      </c>
      <c r="K254" s="11">
        <f t="shared" si="15"/>
        <v>0.41287284144427</v>
      </c>
    </row>
    <row r="255" spans="1:11" x14ac:dyDescent="0.3">
      <c r="A255" s="8">
        <v>45365</v>
      </c>
      <c r="B255" s="9" t="s">
        <v>9</v>
      </c>
      <c r="C255" s="9" t="str">
        <f t="shared" si="12"/>
        <v>Campaign 254</v>
      </c>
      <c r="D255" s="9">
        <v>27</v>
      </c>
      <c r="E255" s="9">
        <v>37</v>
      </c>
      <c r="F255" s="9">
        <v>101</v>
      </c>
      <c r="G255" s="9">
        <v>1.37</v>
      </c>
      <c r="H255" s="9">
        <v>1850</v>
      </c>
      <c r="I255" s="10">
        <f t="shared" si="13"/>
        <v>3.7407407407407409</v>
      </c>
      <c r="J255" s="10">
        <f t="shared" si="14"/>
        <v>2.7297297297297298</v>
      </c>
      <c r="K255" s="11">
        <f t="shared" si="15"/>
        <v>17.316831683168317</v>
      </c>
    </row>
    <row r="256" spans="1:11" x14ac:dyDescent="0.3">
      <c r="A256" s="8">
        <v>45366</v>
      </c>
      <c r="B256" s="9" t="s">
        <v>9</v>
      </c>
      <c r="C256" s="9" t="str">
        <f t="shared" si="12"/>
        <v>Campaign 255</v>
      </c>
      <c r="D256" s="9">
        <v>132</v>
      </c>
      <c r="E256" s="9">
        <v>17</v>
      </c>
      <c r="F256" s="9">
        <v>142</v>
      </c>
      <c r="G256" s="9">
        <v>0.13</v>
      </c>
      <c r="H256" s="9">
        <v>850</v>
      </c>
      <c r="I256" s="10">
        <f t="shared" si="13"/>
        <v>1.0757575757575757</v>
      </c>
      <c r="J256" s="10">
        <f t="shared" si="14"/>
        <v>8.3529411764705888</v>
      </c>
      <c r="K256" s="11">
        <f t="shared" si="15"/>
        <v>4.9859154929577461</v>
      </c>
    </row>
    <row r="257" spans="1:11" x14ac:dyDescent="0.3">
      <c r="A257" s="8">
        <v>45367</v>
      </c>
      <c r="B257" s="9" t="s">
        <v>9</v>
      </c>
      <c r="C257" s="9" t="str">
        <f t="shared" si="12"/>
        <v>Campaign 256</v>
      </c>
      <c r="D257" s="9">
        <v>83</v>
      </c>
      <c r="E257" s="9">
        <v>46</v>
      </c>
      <c r="F257" s="9">
        <v>1398</v>
      </c>
      <c r="G257" s="9">
        <v>0.55000000000000004</v>
      </c>
      <c r="H257" s="9">
        <v>2300</v>
      </c>
      <c r="I257" s="10">
        <f t="shared" si="13"/>
        <v>16.843373493975903</v>
      </c>
      <c r="J257" s="10">
        <f t="shared" si="14"/>
        <v>30.391304347826086</v>
      </c>
      <c r="K257" s="11">
        <f t="shared" si="15"/>
        <v>0.64520743919885548</v>
      </c>
    </row>
    <row r="258" spans="1:11" x14ac:dyDescent="0.3">
      <c r="A258" s="8">
        <v>45368</v>
      </c>
      <c r="B258" s="9" t="s">
        <v>9</v>
      </c>
      <c r="C258" s="9" t="str">
        <f t="shared" si="12"/>
        <v>Campaign 257</v>
      </c>
      <c r="D258" s="9">
        <v>115</v>
      </c>
      <c r="E258" s="9">
        <v>33</v>
      </c>
      <c r="F258" s="9">
        <v>1460</v>
      </c>
      <c r="G258" s="9">
        <v>0.28999999999999998</v>
      </c>
      <c r="H258" s="9">
        <v>1650</v>
      </c>
      <c r="I258" s="10">
        <f t="shared" si="13"/>
        <v>12.695652173913043</v>
      </c>
      <c r="J258" s="10">
        <f t="shared" si="14"/>
        <v>44.242424242424242</v>
      </c>
      <c r="K258" s="11">
        <f t="shared" si="15"/>
        <v>0.13013698630136986</v>
      </c>
    </row>
    <row r="259" spans="1:11" x14ac:dyDescent="0.3">
      <c r="A259" s="8">
        <v>45369</v>
      </c>
      <c r="B259" s="9" t="s">
        <v>9</v>
      </c>
      <c r="C259" s="9" t="str">
        <f t="shared" ref="C259:C322" si="16" xml:space="preserve"> "Campaign " &amp; ROW()-1</f>
        <v>Campaign 258</v>
      </c>
      <c r="D259" s="9">
        <v>111</v>
      </c>
      <c r="E259" s="9">
        <v>32</v>
      </c>
      <c r="F259" s="9">
        <v>1953</v>
      </c>
      <c r="G259" s="9">
        <v>0.28999999999999998</v>
      </c>
      <c r="H259" s="9">
        <v>1600</v>
      </c>
      <c r="I259" s="10">
        <f t="shared" ref="I259:I322" si="17" xml:space="preserve"> F259 / D259</f>
        <v>17.594594594594593</v>
      </c>
      <c r="J259" s="10">
        <f t="shared" ref="J259:J322" si="18" xml:space="preserve"> F259 / E259</f>
        <v>61.03125</v>
      </c>
      <c r="K259" s="11">
        <f t="shared" ref="K259:K322" si="19" xml:space="preserve"> (H259 - F259) / F259</f>
        <v>-0.18074756784434204</v>
      </c>
    </row>
    <row r="260" spans="1:11" x14ac:dyDescent="0.3">
      <c r="A260" s="8">
        <v>45370</v>
      </c>
      <c r="B260" s="9" t="s">
        <v>9</v>
      </c>
      <c r="C260" s="9" t="str">
        <f t="shared" si="16"/>
        <v>Campaign 259</v>
      </c>
      <c r="D260" s="9">
        <v>121</v>
      </c>
      <c r="E260" s="9">
        <v>46</v>
      </c>
      <c r="F260" s="9">
        <v>301</v>
      </c>
      <c r="G260" s="9">
        <v>0.38</v>
      </c>
      <c r="H260" s="9">
        <v>2300</v>
      </c>
      <c r="I260" s="10">
        <f t="shared" si="17"/>
        <v>2.4876033057851239</v>
      </c>
      <c r="J260" s="10">
        <f t="shared" si="18"/>
        <v>6.5434782608695654</v>
      </c>
      <c r="K260" s="11">
        <f t="shared" si="19"/>
        <v>6.6411960132890364</v>
      </c>
    </row>
    <row r="261" spans="1:11" x14ac:dyDescent="0.3">
      <c r="A261" s="8">
        <v>45371</v>
      </c>
      <c r="B261" s="9" t="s">
        <v>9</v>
      </c>
      <c r="C261" s="9" t="str">
        <f t="shared" si="16"/>
        <v>Campaign 260</v>
      </c>
      <c r="D261" s="9">
        <v>54</v>
      </c>
      <c r="E261" s="9">
        <v>36</v>
      </c>
      <c r="F261" s="9">
        <v>758</v>
      </c>
      <c r="G261" s="9">
        <v>0.67</v>
      </c>
      <c r="H261" s="9">
        <v>1800</v>
      </c>
      <c r="I261" s="10">
        <f t="shared" si="17"/>
        <v>14.037037037037036</v>
      </c>
      <c r="J261" s="10">
        <f t="shared" si="18"/>
        <v>21.055555555555557</v>
      </c>
      <c r="K261" s="11">
        <f t="shared" si="19"/>
        <v>1.3746701846965699</v>
      </c>
    </row>
    <row r="262" spans="1:11" x14ac:dyDescent="0.3">
      <c r="A262" s="8">
        <v>45372</v>
      </c>
      <c r="B262" s="9" t="s">
        <v>9</v>
      </c>
      <c r="C262" s="9" t="str">
        <f t="shared" si="16"/>
        <v>Campaign 261</v>
      </c>
      <c r="D262" s="9">
        <v>41</v>
      </c>
      <c r="E262" s="9">
        <v>45</v>
      </c>
      <c r="F262" s="9">
        <v>1722</v>
      </c>
      <c r="G262" s="9">
        <v>1.1000000000000001</v>
      </c>
      <c r="H262" s="9">
        <v>2250</v>
      </c>
      <c r="I262" s="10">
        <f t="shared" si="17"/>
        <v>42</v>
      </c>
      <c r="J262" s="10">
        <f t="shared" si="18"/>
        <v>38.266666666666666</v>
      </c>
      <c r="K262" s="11">
        <f t="shared" si="19"/>
        <v>0.30662020905923343</v>
      </c>
    </row>
    <row r="263" spans="1:11" x14ac:dyDescent="0.3">
      <c r="A263" s="8">
        <v>45373</v>
      </c>
      <c r="B263" s="9" t="s">
        <v>9</v>
      </c>
      <c r="C263" s="9" t="str">
        <f t="shared" si="16"/>
        <v>Campaign 262</v>
      </c>
      <c r="D263" s="9">
        <v>90</v>
      </c>
      <c r="E263" s="9">
        <v>11</v>
      </c>
      <c r="F263" s="9">
        <v>443</v>
      </c>
      <c r="G263" s="9">
        <v>0.12</v>
      </c>
      <c r="H263" s="9">
        <v>550</v>
      </c>
      <c r="I263" s="10">
        <f t="shared" si="17"/>
        <v>4.9222222222222225</v>
      </c>
      <c r="J263" s="10">
        <f t="shared" si="18"/>
        <v>40.272727272727273</v>
      </c>
      <c r="K263" s="11">
        <f t="shared" si="19"/>
        <v>0.24153498871331827</v>
      </c>
    </row>
    <row r="264" spans="1:11" x14ac:dyDescent="0.3">
      <c r="A264" s="8">
        <v>45374</v>
      </c>
      <c r="B264" s="9" t="s">
        <v>9</v>
      </c>
      <c r="C264" s="9" t="str">
        <f t="shared" si="16"/>
        <v>Campaign 263</v>
      </c>
      <c r="D264" s="9">
        <v>148</v>
      </c>
      <c r="E264" s="9">
        <v>5</v>
      </c>
      <c r="F264" s="9">
        <v>1933</v>
      </c>
      <c r="G264" s="9">
        <v>0.03</v>
      </c>
      <c r="H264" s="9">
        <v>250</v>
      </c>
      <c r="I264" s="10">
        <f t="shared" si="17"/>
        <v>13.060810810810811</v>
      </c>
      <c r="J264" s="10">
        <f t="shared" si="18"/>
        <v>386.6</v>
      </c>
      <c r="K264" s="11">
        <f t="shared" si="19"/>
        <v>-0.87066735644076565</v>
      </c>
    </row>
    <row r="265" spans="1:11" x14ac:dyDescent="0.3">
      <c r="A265" s="8">
        <v>45375</v>
      </c>
      <c r="B265" s="9" t="s">
        <v>9</v>
      </c>
      <c r="C265" s="9" t="str">
        <f t="shared" si="16"/>
        <v>Campaign 264</v>
      </c>
      <c r="D265" s="9">
        <v>127</v>
      </c>
      <c r="E265" s="9">
        <v>46</v>
      </c>
      <c r="F265" s="9">
        <v>1564</v>
      </c>
      <c r="G265" s="9">
        <v>0.36</v>
      </c>
      <c r="H265" s="9">
        <v>2300</v>
      </c>
      <c r="I265" s="10">
        <f t="shared" si="17"/>
        <v>12.314960629921259</v>
      </c>
      <c r="J265" s="10">
        <f t="shared" si="18"/>
        <v>34</v>
      </c>
      <c r="K265" s="11">
        <f t="shared" si="19"/>
        <v>0.47058823529411764</v>
      </c>
    </row>
    <row r="266" spans="1:11" x14ac:dyDescent="0.3">
      <c r="A266" s="8">
        <v>45376</v>
      </c>
      <c r="B266" s="9" t="s">
        <v>9</v>
      </c>
      <c r="C266" s="9" t="str">
        <f t="shared" si="16"/>
        <v>Campaign 265</v>
      </c>
      <c r="D266" s="9">
        <v>35</v>
      </c>
      <c r="E266" s="9">
        <v>40</v>
      </c>
      <c r="F266" s="9">
        <v>511</v>
      </c>
      <c r="G266" s="9">
        <v>1.1399999999999999</v>
      </c>
      <c r="H266" s="9">
        <v>2000</v>
      </c>
      <c r="I266" s="10">
        <f t="shared" si="17"/>
        <v>14.6</v>
      </c>
      <c r="J266" s="10">
        <f t="shared" si="18"/>
        <v>12.775</v>
      </c>
      <c r="K266" s="11">
        <f t="shared" si="19"/>
        <v>2.9138943248532287</v>
      </c>
    </row>
    <row r="267" spans="1:11" x14ac:dyDescent="0.3">
      <c r="A267" s="8">
        <v>45377</v>
      </c>
      <c r="B267" s="9" t="s">
        <v>9</v>
      </c>
      <c r="C267" s="9" t="str">
        <f t="shared" si="16"/>
        <v>Campaign 266</v>
      </c>
      <c r="D267" s="9">
        <v>77</v>
      </c>
      <c r="E267" s="9">
        <v>11</v>
      </c>
      <c r="F267" s="9">
        <v>153</v>
      </c>
      <c r="G267" s="9">
        <v>0.14000000000000001</v>
      </c>
      <c r="H267" s="9">
        <v>550</v>
      </c>
      <c r="I267" s="10">
        <f t="shared" si="17"/>
        <v>1.9870129870129871</v>
      </c>
      <c r="J267" s="10">
        <f t="shared" si="18"/>
        <v>13.909090909090908</v>
      </c>
      <c r="K267" s="11">
        <f t="shared" si="19"/>
        <v>2.5947712418300655</v>
      </c>
    </row>
    <row r="268" spans="1:11" x14ac:dyDescent="0.3">
      <c r="A268" s="8">
        <v>45378</v>
      </c>
      <c r="B268" s="9" t="s">
        <v>9</v>
      </c>
      <c r="C268" s="9" t="str">
        <f t="shared" si="16"/>
        <v>Campaign 267</v>
      </c>
      <c r="D268" s="9">
        <v>145</v>
      </c>
      <c r="E268" s="9">
        <v>46</v>
      </c>
      <c r="F268" s="9">
        <v>314</v>
      </c>
      <c r="G268" s="9">
        <v>0.32</v>
      </c>
      <c r="H268" s="9">
        <v>2300</v>
      </c>
      <c r="I268" s="10">
        <f t="shared" si="17"/>
        <v>2.1655172413793102</v>
      </c>
      <c r="J268" s="10">
        <f t="shared" si="18"/>
        <v>6.8260869565217392</v>
      </c>
      <c r="K268" s="11">
        <f t="shared" si="19"/>
        <v>6.3248407643312099</v>
      </c>
    </row>
    <row r="269" spans="1:11" x14ac:dyDescent="0.3">
      <c r="A269" s="8">
        <v>45379</v>
      </c>
      <c r="B269" s="9" t="s">
        <v>9</v>
      </c>
      <c r="C269" s="9" t="str">
        <f t="shared" si="16"/>
        <v>Campaign 268</v>
      </c>
      <c r="D269" s="9">
        <v>26</v>
      </c>
      <c r="E269" s="9">
        <v>43</v>
      </c>
      <c r="F269" s="9">
        <v>1715</v>
      </c>
      <c r="G269" s="9">
        <v>1.65</v>
      </c>
      <c r="H269" s="9">
        <v>2150</v>
      </c>
      <c r="I269" s="10">
        <f t="shared" si="17"/>
        <v>65.961538461538467</v>
      </c>
      <c r="J269" s="10">
        <f t="shared" si="18"/>
        <v>39.883720930232556</v>
      </c>
      <c r="K269" s="11">
        <f t="shared" si="19"/>
        <v>0.25364431486880468</v>
      </c>
    </row>
    <row r="270" spans="1:11" x14ac:dyDescent="0.3">
      <c r="A270" s="8">
        <v>45380</v>
      </c>
      <c r="B270" s="9" t="s">
        <v>9</v>
      </c>
      <c r="C270" s="9" t="str">
        <f t="shared" si="16"/>
        <v>Campaign 269</v>
      </c>
      <c r="D270" s="9">
        <v>103</v>
      </c>
      <c r="E270" s="9">
        <v>47</v>
      </c>
      <c r="F270" s="9">
        <v>360</v>
      </c>
      <c r="G270" s="9">
        <v>0.46</v>
      </c>
      <c r="H270" s="9">
        <v>2350</v>
      </c>
      <c r="I270" s="10">
        <f t="shared" si="17"/>
        <v>3.4951456310679609</v>
      </c>
      <c r="J270" s="10">
        <f t="shared" si="18"/>
        <v>7.6595744680851068</v>
      </c>
      <c r="K270" s="11">
        <f t="shared" si="19"/>
        <v>5.5277777777777777</v>
      </c>
    </row>
    <row r="271" spans="1:11" x14ac:dyDescent="0.3">
      <c r="A271" s="8">
        <v>45381</v>
      </c>
      <c r="B271" s="9" t="s">
        <v>9</v>
      </c>
      <c r="C271" s="9" t="str">
        <f t="shared" si="16"/>
        <v>Campaign 270</v>
      </c>
      <c r="D271" s="9">
        <v>53</v>
      </c>
      <c r="E271" s="9">
        <v>34</v>
      </c>
      <c r="F271" s="9">
        <v>392</v>
      </c>
      <c r="G271" s="9">
        <v>0.64</v>
      </c>
      <c r="H271" s="9">
        <v>1700</v>
      </c>
      <c r="I271" s="10">
        <f t="shared" si="17"/>
        <v>7.3962264150943398</v>
      </c>
      <c r="J271" s="10">
        <f t="shared" si="18"/>
        <v>11.529411764705882</v>
      </c>
      <c r="K271" s="11">
        <f t="shared" si="19"/>
        <v>3.3367346938775508</v>
      </c>
    </row>
    <row r="272" spans="1:11" x14ac:dyDescent="0.3">
      <c r="A272" s="8">
        <v>45292</v>
      </c>
      <c r="B272" s="9" t="s">
        <v>10</v>
      </c>
      <c r="C272" s="9" t="str">
        <f t="shared" si="16"/>
        <v>Campaign 271</v>
      </c>
      <c r="D272" s="9">
        <v>36</v>
      </c>
      <c r="E272" s="9">
        <v>49</v>
      </c>
      <c r="F272" s="9">
        <v>1252</v>
      </c>
      <c r="G272" s="9">
        <v>1.36</v>
      </c>
      <c r="H272" s="9">
        <v>2450</v>
      </c>
      <c r="I272" s="10">
        <f t="shared" si="17"/>
        <v>34.777777777777779</v>
      </c>
      <c r="J272" s="10">
        <f t="shared" si="18"/>
        <v>25.551020408163264</v>
      </c>
      <c r="K272" s="11">
        <f t="shared" si="19"/>
        <v>0.95686900958466459</v>
      </c>
    </row>
    <row r="273" spans="1:11" x14ac:dyDescent="0.3">
      <c r="A273" s="8">
        <v>45293</v>
      </c>
      <c r="B273" s="9" t="s">
        <v>10</v>
      </c>
      <c r="C273" s="9" t="str">
        <f t="shared" si="16"/>
        <v>Campaign 272</v>
      </c>
      <c r="D273" s="9">
        <v>110</v>
      </c>
      <c r="E273" s="9">
        <v>40</v>
      </c>
      <c r="F273" s="9">
        <v>1417</v>
      </c>
      <c r="G273" s="9">
        <v>0.36</v>
      </c>
      <c r="H273" s="9">
        <v>2000</v>
      </c>
      <c r="I273" s="10">
        <f t="shared" si="17"/>
        <v>12.881818181818181</v>
      </c>
      <c r="J273" s="10">
        <f t="shared" si="18"/>
        <v>35.424999999999997</v>
      </c>
      <c r="K273" s="11">
        <f t="shared" si="19"/>
        <v>0.41143260409315457</v>
      </c>
    </row>
    <row r="274" spans="1:11" x14ac:dyDescent="0.3">
      <c r="A274" s="8">
        <v>45294</v>
      </c>
      <c r="B274" s="9" t="s">
        <v>10</v>
      </c>
      <c r="C274" s="9" t="str">
        <f t="shared" si="16"/>
        <v>Campaign 273</v>
      </c>
      <c r="D274" s="9">
        <v>136</v>
      </c>
      <c r="E274" s="9">
        <v>34</v>
      </c>
      <c r="F274" s="9">
        <v>1091</v>
      </c>
      <c r="G274" s="9">
        <v>0.25</v>
      </c>
      <c r="H274" s="9">
        <v>1700</v>
      </c>
      <c r="I274" s="10">
        <f t="shared" si="17"/>
        <v>8.0220588235294112</v>
      </c>
      <c r="J274" s="10">
        <f t="shared" si="18"/>
        <v>32.088235294117645</v>
      </c>
      <c r="K274" s="11">
        <f t="shared" si="19"/>
        <v>0.55820348304307976</v>
      </c>
    </row>
    <row r="275" spans="1:11" x14ac:dyDescent="0.3">
      <c r="A275" s="8">
        <v>45295</v>
      </c>
      <c r="B275" s="9" t="s">
        <v>10</v>
      </c>
      <c r="C275" s="9" t="str">
        <f t="shared" si="16"/>
        <v>Campaign 274</v>
      </c>
      <c r="D275" s="9">
        <v>124</v>
      </c>
      <c r="E275" s="9">
        <v>26</v>
      </c>
      <c r="F275" s="9">
        <v>1075</v>
      </c>
      <c r="G275" s="9">
        <v>0.21</v>
      </c>
      <c r="H275" s="9">
        <v>1300</v>
      </c>
      <c r="I275" s="10">
        <f t="shared" si="17"/>
        <v>8.6693548387096779</v>
      </c>
      <c r="J275" s="10">
        <f t="shared" si="18"/>
        <v>41.346153846153847</v>
      </c>
      <c r="K275" s="11">
        <f t="shared" si="19"/>
        <v>0.20930232558139536</v>
      </c>
    </row>
    <row r="276" spans="1:11" x14ac:dyDescent="0.3">
      <c r="A276" s="8">
        <v>45296</v>
      </c>
      <c r="B276" s="9" t="s">
        <v>10</v>
      </c>
      <c r="C276" s="9" t="str">
        <f t="shared" si="16"/>
        <v>Campaign 275</v>
      </c>
      <c r="D276" s="9">
        <v>122</v>
      </c>
      <c r="E276" s="9">
        <v>48</v>
      </c>
      <c r="F276" s="9">
        <v>837</v>
      </c>
      <c r="G276" s="9">
        <v>0.39</v>
      </c>
      <c r="H276" s="9">
        <v>2400</v>
      </c>
      <c r="I276" s="10">
        <f t="shared" si="17"/>
        <v>6.860655737704918</v>
      </c>
      <c r="J276" s="10">
        <f t="shared" si="18"/>
        <v>17.4375</v>
      </c>
      <c r="K276" s="11">
        <f t="shared" si="19"/>
        <v>1.8673835125448028</v>
      </c>
    </row>
    <row r="277" spans="1:11" x14ac:dyDescent="0.3">
      <c r="A277" s="8">
        <v>45297</v>
      </c>
      <c r="B277" s="9" t="s">
        <v>10</v>
      </c>
      <c r="C277" s="9" t="str">
        <f t="shared" si="16"/>
        <v>Campaign 276</v>
      </c>
      <c r="D277" s="9">
        <v>95</v>
      </c>
      <c r="E277" s="9">
        <v>47</v>
      </c>
      <c r="F277" s="9">
        <v>1939</v>
      </c>
      <c r="G277" s="9">
        <v>0.49</v>
      </c>
      <c r="H277" s="9">
        <v>2350</v>
      </c>
      <c r="I277" s="10">
        <f t="shared" si="17"/>
        <v>20.410526315789475</v>
      </c>
      <c r="J277" s="10">
        <f t="shared" si="18"/>
        <v>41.255319148936174</v>
      </c>
      <c r="K277" s="11">
        <f t="shared" si="19"/>
        <v>0.21196493037648273</v>
      </c>
    </row>
    <row r="278" spans="1:11" x14ac:dyDescent="0.3">
      <c r="A278" s="8">
        <v>45298</v>
      </c>
      <c r="B278" s="9" t="s">
        <v>10</v>
      </c>
      <c r="C278" s="9" t="str">
        <f t="shared" si="16"/>
        <v>Campaign 277</v>
      </c>
      <c r="D278" s="9">
        <v>82</v>
      </c>
      <c r="E278" s="9">
        <v>27</v>
      </c>
      <c r="F278" s="9">
        <v>1928</v>
      </c>
      <c r="G278" s="9">
        <v>0.33</v>
      </c>
      <c r="H278" s="9">
        <v>1350</v>
      </c>
      <c r="I278" s="10">
        <f t="shared" si="17"/>
        <v>23.512195121951219</v>
      </c>
      <c r="J278" s="10">
        <f t="shared" si="18"/>
        <v>71.407407407407405</v>
      </c>
      <c r="K278" s="11">
        <f t="shared" si="19"/>
        <v>-0.29979253112033194</v>
      </c>
    </row>
    <row r="279" spans="1:11" x14ac:dyDescent="0.3">
      <c r="A279" s="8">
        <v>45299</v>
      </c>
      <c r="B279" s="9" t="s">
        <v>10</v>
      </c>
      <c r="C279" s="9" t="str">
        <f t="shared" si="16"/>
        <v>Campaign 278</v>
      </c>
      <c r="D279" s="9">
        <v>122</v>
      </c>
      <c r="E279" s="9">
        <v>11</v>
      </c>
      <c r="F279" s="9">
        <v>596</v>
      </c>
      <c r="G279" s="9">
        <v>0.09</v>
      </c>
      <c r="H279" s="9">
        <v>550</v>
      </c>
      <c r="I279" s="10">
        <f t="shared" si="17"/>
        <v>4.8852459016393439</v>
      </c>
      <c r="J279" s="10">
        <f t="shared" si="18"/>
        <v>54.18181818181818</v>
      </c>
      <c r="K279" s="11">
        <f t="shared" si="19"/>
        <v>-7.7181208053691275E-2</v>
      </c>
    </row>
    <row r="280" spans="1:11" x14ac:dyDescent="0.3">
      <c r="A280" s="8">
        <v>45300</v>
      </c>
      <c r="B280" s="9" t="s">
        <v>10</v>
      </c>
      <c r="C280" s="9" t="str">
        <f t="shared" si="16"/>
        <v>Campaign 279</v>
      </c>
      <c r="D280" s="9">
        <v>69</v>
      </c>
      <c r="E280" s="9">
        <v>36</v>
      </c>
      <c r="F280" s="9">
        <v>1740</v>
      </c>
      <c r="G280" s="9">
        <v>0.52</v>
      </c>
      <c r="H280" s="9">
        <v>1800</v>
      </c>
      <c r="I280" s="10">
        <f t="shared" si="17"/>
        <v>25.217391304347824</v>
      </c>
      <c r="J280" s="10">
        <f t="shared" si="18"/>
        <v>48.333333333333336</v>
      </c>
      <c r="K280" s="11">
        <f t="shared" si="19"/>
        <v>3.4482758620689655E-2</v>
      </c>
    </row>
    <row r="281" spans="1:11" x14ac:dyDescent="0.3">
      <c r="A281" s="8">
        <v>45301</v>
      </c>
      <c r="B281" s="9" t="s">
        <v>10</v>
      </c>
      <c r="C281" s="9" t="str">
        <f t="shared" si="16"/>
        <v>Campaign 280</v>
      </c>
      <c r="D281" s="9">
        <v>38</v>
      </c>
      <c r="E281" s="9">
        <v>11</v>
      </c>
      <c r="F281" s="9">
        <v>442</v>
      </c>
      <c r="G281" s="9">
        <v>0.28999999999999998</v>
      </c>
      <c r="H281" s="9">
        <v>550</v>
      </c>
      <c r="I281" s="10">
        <f t="shared" si="17"/>
        <v>11.631578947368421</v>
      </c>
      <c r="J281" s="10">
        <f t="shared" si="18"/>
        <v>40.18181818181818</v>
      </c>
      <c r="K281" s="11">
        <f t="shared" si="19"/>
        <v>0.24434389140271492</v>
      </c>
    </row>
    <row r="282" spans="1:11" x14ac:dyDescent="0.3">
      <c r="A282" s="8">
        <v>45302</v>
      </c>
      <c r="B282" s="9" t="s">
        <v>10</v>
      </c>
      <c r="C282" s="9" t="str">
        <f t="shared" si="16"/>
        <v>Campaign 281</v>
      </c>
      <c r="D282" s="9">
        <v>22</v>
      </c>
      <c r="E282" s="9">
        <v>27</v>
      </c>
      <c r="F282" s="9">
        <v>825</v>
      </c>
      <c r="G282" s="9">
        <v>1.23</v>
      </c>
      <c r="H282" s="9">
        <v>1350</v>
      </c>
      <c r="I282" s="10">
        <f t="shared" si="17"/>
        <v>37.5</v>
      </c>
      <c r="J282" s="10">
        <f t="shared" si="18"/>
        <v>30.555555555555557</v>
      </c>
      <c r="K282" s="11">
        <f t="shared" si="19"/>
        <v>0.63636363636363635</v>
      </c>
    </row>
    <row r="283" spans="1:11" x14ac:dyDescent="0.3">
      <c r="A283" s="8">
        <v>45303</v>
      </c>
      <c r="B283" s="9" t="s">
        <v>10</v>
      </c>
      <c r="C283" s="9" t="str">
        <f t="shared" si="16"/>
        <v>Campaign 282</v>
      </c>
      <c r="D283" s="9">
        <v>141</v>
      </c>
      <c r="E283" s="9">
        <v>5</v>
      </c>
      <c r="F283" s="9">
        <v>101</v>
      </c>
      <c r="G283" s="9">
        <v>0.04</v>
      </c>
      <c r="H283" s="9">
        <v>250</v>
      </c>
      <c r="I283" s="10">
        <f t="shared" si="17"/>
        <v>0.71631205673758869</v>
      </c>
      <c r="J283" s="10">
        <f t="shared" si="18"/>
        <v>20.2</v>
      </c>
      <c r="K283" s="11">
        <f t="shared" si="19"/>
        <v>1.4752475247524752</v>
      </c>
    </row>
    <row r="284" spans="1:11" x14ac:dyDescent="0.3">
      <c r="A284" s="8">
        <v>45304</v>
      </c>
      <c r="B284" s="9" t="s">
        <v>10</v>
      </c>
      <c r="C284" s="9" t="str">
        <f t="shared" si="16"/>
        <v>Campaign 283</v>
      </c>
      <c r="D284" s="9">
        <v>21</v>
      </c>
      <c r="E284" s="9">
        <v>25</v>
      </c>
      <c r="F284" s="9">
        <v>1640</v>
      </c>
      <c r="G284" s="9">
        <v>1.19</v>
      </c>
      <c r="H284" s="9">
        <v>1250</v>
      </c>
      <c r="I284" s="10">
        <f t="shared" si="17"/>
        <v>78.095238095238102</v>
      </c>
      <c r="J284" s="10">
        <f t="shared" si="18"/>
        <v>65.599999999999994</v>
      </c>
      <c r="K284" s="11">
        <f t="shared" si="19"/>
        <v>-0.23780487804878048</v>
      </c>
    </row>
    <row r="285" spans="1:11" x14ac:dyDescent="0.3">
      <c r="A285" s="8">
        <v>45305</v>
      </c>
      <c r="B285" s="9" t="s">
        <v>10</v>
      </c>
      <c r="C285" s="9" t="str">
        <f t="shared" si="16"/>
        <v>Campaign 284</v>
      </c>
      <c r="D285" s="9">
        <v>20</v>
      </c>
      <c r="E285" s="9">
        <v>15</v>
      </c>
      <c r="F285" s="9">
        <v>516</v>
      </c>
      <c r="G285" s="9">
        <v>0.75</v>
      </c>
      <c r="H285" s="9">
        <v>750</v>
      </c>
      <c r="I285" s="10">
        <f t="shared" si="17"/>
        <v>25.8</v>
      </c>
      <c r="J285" s="10">
        <f t="shared" si="18"/>
        <v>34.4</v>
      </c>
      <c r="K285" s="11">
        <f t="shared" si="19"/>
        <v>0.45348837209302323</v>
      </c>
    </row>
    <row r="286" spans="1:11" x14ac:dyDescent="0.3">
      <c r="A286" s="8">
        <v>45306</v>
      </c>
      <c r="B286" s="9" t="s">
        <v>10</v>
      </c>
      <c r="C286" s="9" t="str">
        <f t="shared" si="16"/>
        <v>Campaign 285</v>
      </c>
      <c r="D286" s="9">
        <v>54</v>
      </c>
      <c r="E286" s="9">
        <v>25</v>
      </c>
      <c r="F286" s="9">
        <v>596</v>
      </c>
      <c r="G286" s="9">
        <v>0.46</v>
      </c>
      <c r="H286" s="9">
        <v>1250</v>
      </c>
      <c r="I286" s="10">
        <f t="shared" si="17"/>
        <v>11.037037037037036</v>
      </c>
      <c r="J286" s="10">
        <f t="shared" si="18"/>
        <v>23.84</v>
      </c>
      <c r="K286" s="11">
        <f t="shared" si="19"/>
        <v>1.0973154362416107</v>
      </c>
    </row>
    <row r="287" spans="1:11" x14ac:dyDescent="0.3">
      <c r="A287" s="8">
        <v>45307</v>
      </c>
      <c r="B287" s="9" t="s">
        <v>10</v>
      </c>
      <c r="C287" s="9" t="str">
        <f t="shared" si="16"/>
        <v>Campaign 286</v>
      </c>
      <c r="D287" s="9">
        <v>31</v>
      </c>
      <c r="E287" s="9">
        <v>39</v>
      </c>
      <c r="F287" s="9">
        <v>249</v>
      </c>
      <c r="G287" s="9">
        <v>1.26</v>
      </c>
      <c r="H287" s="9">
        <v>1950</v>
      </c>
      <c r="I287" s="10">
        <f t="shared" si="17"/>
        <v>8.0322580645161299</v>
      </c>
      <c r="J287" s="10">
        <f t="shared" si="18"/>
        <v>6.384615384615385</v>
      </c>
      <c r="K287" s="11">
        <f t="shared" si="19"/>
        <v>6.831325301204819</v>
      </c>
    </row>
    <row r="288" spans="1:11" x14ac:dyDescent="0.3">
      <c r="A288" s="8">
        <v>45308</v>
      </c>
      <c r="B288" s="9" t="s">
        <v>10</v>
      </c>
      <c r="C288" s="9" t="str">
        <f t="shared" si="16"/>
        <v>Campaign 287</v>
      </c>
      <c r="D288" s="9">
        <v>128</v>
      </c>
      <c r="E288" s="9">
        <v>39</v>
      </c>
      <c r="F288" s="9">
        <v>1389</v>
      </c>
      <c r="G288" s="9">
        <v>0.3</v>
      </c>
      <c r="H288" s="9">
        <v>1950</v>
      </c>
      <c r="I288" s="10">
        <f t="shared" si="17"/>
        <v>10.8515625</v>
      </c>
      <c r="J288" s="10">
        <f t="shared" si="18"/>
        <v>35.615384615384613</v>
      </c>
      <c r="K288" s="11">
        <f t="shared" si="19"/>
        <v>0.4038876889848812</v>
      </c>
    </row>
    <row r="289" spans="1:11" x14ac:dyDescent="0.3">
      <c r="A289" s="8">
        <v>45309</v>
      </c>
      <c r="B289" s="9" t="s">
        <v>10</v>
      </c>
      <c r="C289" s="9" t="str">
        <f t="shared" si="16"/>
        <v>Campaign 288</v>
      </c>
      <c r="D289" s="9">
        <v>101</v>
      </c>
      <c r="E289" s="9">
        <v>10</v>
      </c>
      <c r="F289" s="9">
        <v>1711</v>
      </c>
      <c r="G289" s="9">
        <v>0.1</v>
      </c>
      <c r="H289" s="9">
        <v>500</v>
      </c>
      <c r="I289" s="10">
        <f t="shared" si="17"/>
        <v>16.940594059405942</v>
      </c>
      <c r="J289" s="10">
        <f t="shared" si="18"/>
        <v>171.1</v>
      </c>
      <c r="K289" s="11">
        <f t="shared" si="19"/>
        <v>-0.70777323202805376</v>
      </c>
    </row>
    <row r="290" spans="1:11" x14ac:dyDescent="0.3">
      <c r="A290" s="8">
        <v>45310</v>
      </c>
      <c r="B290" s="9" t="s">
        <v>10</v>
      </c>
      <c r="C290" s="9" t="str">
        <f t="shared" si="16"/>
        <v>Campaign 289</v>
      </c>
      <c r="D290" s="9">
        <v>93</v>
      </c>
      <c r="E290" s="9">
        <v>42</v>
      </c>
      <c r="F290" s="9">
        <v>245</v>
      </c>
      <c r="G290" s="9">
        <v>0.45</v>
      </c>
      <c r="H290" s="9">
        <v>2100</v>
      </c>
      <c r="I290" s="10">
        <f t="shared" si="17"/>
        <v>2.6344086021505375</v>
      </c>
      <c r="J290" s="10">
        <f t="shared" si="18"/>
        <v>5.833333333333333</v>
      </c>
      <c r="K290" s="11">
        <f t="shared" si="19"/>
        <v>7.5714285714285712</v>
      </c>
    </row>
    <row r="291" spans="1:11" x14ac:dyDescent="0.3">
      <c r="A291" s="8">
        <v>45311</v>
      </c>
      <c r="B291" s="9" t="s">
        <v>10</v>
      </c>
      <c r="C291" s="9" t="str">
        <f t="shared" si="16"/>
        <v>Campaign 290</v>
      </c>
      <c r="D291" s="9">
        <v>39</v>
      </c>
      <c r="E291" s="9">
        <v>32</v>
      </c>
      <c r="F291" s="9">
        <v>759</v>
      </c>
      <c r="G291" s="9">
        <v>0.82</v>
      </c>
      <c r="H291" s="9">
        <v>1600</v>
      </c>
      <c r="I291" s="10">
        <f t="shared" si="17"/>
        <v>19.46153846153846</v>
      </c>
      <c r="J291" s="10">
        <f t="shared" si="18"/>
        <v>23.71875</v>
      </c>
      <c r="K291" s="11">
        <f t="shared" si="19"/>
        <v>1.1080368906455862</v>
      </c>
    </row>
    <row r="292" spans="1:11" x14ac:dyDescent="0.3">
      <c r="A292" s="8">
        <v>45312</v>
      </c>
      <c r="B292" s="9" t="s">
        <v>10</v>
      </c>
      <c r="C292" s="9" t="str">
        <f t="shared" si="16"/>
        <v>Campaign 291</v>
      </c>
      <c r="D292" s="9">
        <v>92</v>
      </c>
      <c r="E292" s="9">
        <v>47</v>
      </c>
      <c r="F292" s="9">
        <v>1388</v>
      </c>
      <c r="G292" s="9">
        <v>0.51</v>
      </c>
      <c r="H292" s="9">
        <v>2350</v>
      </c>
      <c r="I292" s="10">
        <f t="shared" si="17"/>
        <v>15.086956521739131</v>
      </c>
      <c r="J292" s="10">
        <f t="shared" si="18"/>
        <v>29.531914893617021</v>
      </c>
      <c r="K292" s="11">
        <f t="shared" si="19"/>
        <v>0.69308357348703165</v>
      </c>
    </row>
    <row r="293" spans="1:11" x14ac:dyDescent="0.3">
      <c r="A293" s="8">
        <v>45313</v>
      </c>
      <c r="B293" s="9" t="s">
        <v>10</v>
      </c>
      <c r="C293" s="9" t="str">
        <f t="shared" si="16"/>
        <v>Campaign 292</v>
      </c>
      <c r="D293" s="9">
        <v>66</v>
      </c>
      <c r="E293" s="9">
        <v>5</v>
      </c>
      <c r="F293" s="9">
        <v>1564</v>
      </c>
      <c r="G293" s="9">
        <v>0.08</v>
      </c>
      <c r="H293" s="9">
        <v>250</v>
      </c>
      <c r="I293" s="10">
        <f t="shared" si="17"/>
        <v>23.696969696969695</v>
      </c>
      <c r="J293" s="10">
        <f t="shared" si="18"/>
        <v>312.8</v>
      </c>
      <c r="K293" s="11">
        <f t="shared" si="19"/>
        <v>-0.84015345268542196</v>
      </c>
    </row>
    <row r="294" spans="1:11" x14ac:dyDescent="0.3">
      <c r="A294" s="8">
        <v>45314</v>
      </c>
      <c r="B294" s="9" t="s">
        <v>10</v>
      </c>
      <c r="C294" s="9" t="str">
        <f t="shared" si="16"/>
        <v>Campaign 293</v>
      </c>
      <c r="D294" s="9">
        <v>109</v>
      </c>
      <c r="E294" s="9">
        <v>15</v>
      </c>
      <c r="F294" s="9">
        <v>1720</v>
      </c>
      <c r="G294" s="9">
        <v>0.14000000000000001</v>
      </c>
      <c r="H294" s="9">
        <v>750</v>
      </c>
      <c r="I294" s="10">
        <f t="shared" si="17"/>
        <v>15.779816513761467</v>
      </c>
      <c r="J294" s="10">
        <f t="shared" si="18"/>
        <v>114.66666666666667</v>
      </c>
      <c r="K294" s="11">
        <f t="shared" si="19"/>
        <v>-0.56395348837209303</v>
      </c>
    </row>
    <row r="295" spans="1:11" x14ac:dyDescent="0.3">
      <c r="A295" s="8">
        <v>45315</v>
      </c>
      <c r="B295" s="9" t="s">
        <v>10</v>
      </c>
      <c r="C295" s="9" t="str">
        <f t="shared" si="16"/>
        <v>Campaign 294</v>
      </c>
      <c r="D295" s="9">
        <v>130</v>
      </c>
      <c r="E295" s="9">
        <v>48</v>
      </c>
      <c r="F295" s="9">
        <v>1332</v>
      </c>
      <c r="G295" s="9">
        <v>0.37</v>
      </c>
      <c r="H295" s="9">
        <v>2400</v>
      </c>
      <c r="I295" s="10">
        <f t="shared" si="17"/>
        <v>10.246153846153845</v>
      </c>
      <c r="J295" s="10">
        <f t="shared" si="18"/>
        <v>27.75</v>
      </c>
      <c r="K295" s="11">
        <f t="shared" si="19"/>
        <v>0.80180180180180183</v>
      </c>
    </row>
    <row r="296" spans="1:11" x14ac:dyDescent="0.3">
      <c r="A296" s="8">
        <v>45316</v>
      </c>
      <c r="B296" s="9" t="s">
        <v>10</v>
      </c>
      <c r="C296" s="9" t="str">
        <f t="shared" si="16"/>
        <v>Campaign 295</v>
      </c>
      <c r="D296" s="9">
        <v>37</v>
      </c>
      <c r="E296" s="9">
        <v>41</v>
      </c>
      <c r="F296" s="9">
        <v>1669</v>
      </c>
      <c r="G296" s="9">
        <v>1.1100000000000001</v>
      </c>
      <c r="H296" s="9">
        <v>2050</v>
      </c>
      <c r="I296" s="10">
        <f t="shared" si="17"/>
        <v>45.108108108108105</v>
      </c>
      <c r="J296" s="10">
        <f t="shared" si="18"/>
        <v>40.707317073170735</v>
      </c>
      <c r="K296" s="11">
        <f t="shared" si="19"/>
        <v>0.22828040742959857</v>
      </c>
    </row>
    <row r="297" spans="1:11" x14ac:dyDescent="0.3">
      <c r="A297" s="8">
        <v>45317</v>
      </c>
      <c r="B297" s="9" t="s">
        <v>10</v>
      </c>
      <c r="C297" s="9" t="str">
        <f t="shared" si="16"/>
        <v>Campaign 296</v>
      </c>
      <c r="D297" s="9">
        <v>50</v>
      </c>
      <c r="E297" s="9">
        <v>12</v>
      </c>
      <c r="F297" s="9">
        <v>601</v>
      </c>
      <c r="G297" s="9">
        <v>0.24</v>
      </c>
      <c r="H297" s="9">
        <v>600</v>
      </c>
      <c r="I297" s="10">
        <f t="shared" si="17"/>
        <v>12.02</v>
      </c>
      <c r="J297" s="10">
        <f t="shared" si="18"/>
        <v>50.083333333333336</v>
      </c>
      <c r="K297" s="11">
        <f t="shared" si="19"/>
        <v>-1.6638935108153079E-3</v>
      </c>
    </row>
    <row r="298" spans="1:11" x14ac:dyDescent="0.3">
      <c r="A298" s="8">
        <v>45318</v>
      </c>
      <c r="B298" s="9" t="s">
        <v>10</v>
      </c>
      <c r="C298" s="9" t="str">
        <f t="shared" si="16"/>
        <v>Campaign 297</v>
      </c>
      <c r="D298" s="9">
        <v>88</v>
      </c>
      <c r="E298" s="9">
        <v>44</v>
      </c>
      <c r="F298" s="9">
        <v>1881</v>
      </c>
      <c r="G298" s="9">
        <v>0.5</v>
      </c>
      <c r="H298" s="9">
        <v>2200</v>
      </c>
      <c r="I298" s="10">
        <f t="shared" si="17"/>
        <v>21.375</v>
      </c>
      <c r="J298" s="10">
        <f t="shared" si="18"/>
        <v>42.75</v>
      </c>
      <c r="K298" s="11">
        <f t="shared" si="19"/>
        <v>0.16959064327485379</v>
      </c>
    </row>
    <row r="299" spans="1:11" x14ac:dyDescent="0.3">
      <c r="A299" s="8">
        <v>45319</v>
      </c>
      <c r="B299" s="9" t="s">
        <v>10</v>
      </c>
      <c r="C299" s="9" t="str">
        <f t="shared" si="16"/>
        <v>Campaign 298</v>
      </c>
      <c r="D299" s="9">
        <v>86</v>
      </c>
      <c r="E299" s="9">
        <v>37</v>
      </c>
      <c r="F299" s="9">
        <v>1029</v>
      </c>
      <c r="G299" s="9">
        <v>0.43</v>
      </c>
      <c r="H299" s="9">
        <v>1850</v>
      </c>
      <c r="I299" s="10">
        <f t="shared" si="17"/>
        <v>11.965116279069768</v>
      </c>
      <c r="J299" s="10">
        <f t="shared" si="18"/>
        <v>27.810810810810811</v>
      </c>
      <c r="K299" s="11">
        <f t="shared" si="19"/>
        <v>0.79786200194363455</v>
      </c>
    </row>
    <row r="300" spans="1:11" x14ac:dyDescent="0.3">
      <c r="A300" s="8">
        <v>45320</v>
      </c>
      <c r="B300" s="9" t="s">
        <v>10</v>
      </c>
      <c r="C300" s="9" t="str">
        <f t="shared" si="16"/>
        <v>Campaign 299</v>
      </c>
      <c r="D300" s="9">
        <v>136</v>
      </c>
      <c r="E300" s="9">
        <v>21</v>
      </c>
      <c r="F300" s="9">
        <v>445</v>
      </c>
      <c r="G300" s="9">
        <v>0.15</v>
      </c>
      <c r="H300" s="9">
        <v>1050</v>
      </c>
      <c r="I300" s="10">
        <f t="shared" si="17"/>
        <v>3.2720588235294117</v>
      </c>
      <c r="J300" s="10">
        <f t="shared" si="18"/>
        <v>21.19047619047619</v>
      </c>
      <c r="K300" s="11">
        <f t="shared" si="19"/>
        <v>1.3595505617977528</v>
      </c>
    </row>
    <row r="301" spans="1:11" x14ac:dyDescent="0.3">
      <c r="A301" s="8">
        <v>45321</v>
      </c>
      <c r="B301" s="9" t="s">
        <v>10</v>
      </c>
      <c r="C301" s="9" t="str">
        <f t="shared" si="16"/>
        <v>Campaign 300</v>
      </c>
      <c r="D301" s="9">
        <v>133</v>
      </c>
      <c r="E301" s="9">
        <v>6</v>
      </c>
      <c r="F301" s="9">
        <v>1864</v>
      </c>
      <c r="G301" s="9">
        <v>0.05</v>
      </c>
      <c r="H301" s="9">
        <v>300</v>
      </c>
      <c r="I301" s="10">
        <f t="shared" si="17"/>
        <v>14.015037593984962</v>
      </c>
      <c r="J301" s="10">
        <f t="shared" si="18"/>
        <v>310.66666666666669</v>
      </c>
      <c r="K301" s="11">
        <f t="shared" si="19"/>
        <v>-0.83905579399141628</v>
      </c>
    </row>
    <row r="302" spans="1:11" x14ac:dyDescent="0.3">
      <c r="A302" s="8">
        <v>45322</v>
      </c>
      <c r="B302" s="9" t="s">
        <v>10</v>
      </c>
      <c r="C302" s="9" t="str">
        <f t="shared" si="16"/>
        <v>Campaign 301</v>
      </c>
      <c r="D302" s="9">
        <v>30</v>
      </c>
      <c r="E302" s="9">
        <v>37</v>
      </c>
      <c r="F302" s="9">
        <v>109</v>
      </c>
      <c r="G302" s="9">
        <v>1.23</v>
      </c>
      <c r="H302" s="9">
        <v>1850</v>
      </c>
      <c r="I302" s="10">
        <f t="shared" si="17"/>
        <v>3.6333333333333333</v>
      </c>
      <c r="J302" s="10">
        <f t="shared" si="18"/>
        <v>2.9459459459459461</v>
      </c>
      <c r="K302" s="11">
        <f t="shared" si="19"/>
        <v>15.972477064220184</v>
      </c>
    </row>
    <row r="303" spans="1:11" x14ac:dyDescent="0.3">
      <c r="A303" s="8">
        <v>45323</v>
      </c>
      <c r="B303" s="9" t="s">
        <v>10</v>
      </c>
      <c r="C303" s="9" t="str">
        <f t="shared" si="16"/>
        <v>Campaign 302</v>
      </c>
      <c r="D303" s="9">
        <v>59</v>
      </c>
      <c r="E303" s="9">
        <v>41</v>
      </c>
      <c r="F303" s="9">
        <v>1762</v>
      </c>
      <c r="G303" s="9">
        <v>0.69</v>
      </c>
      <c r="H303" s="9">
        <v>2050</v>
      </c>
      <c r="I303" s="10">
        <f t="shared" si="17"/>
        <v>29.864406779661017</v>
      </c>
      <c r="J303" s="10">
        <f t="shared" si="18"/>
        <v>42.975609756097562</v>
      </c>
      <c r="K303" s="11">
        <f t="shared" si="19"/>
        <v>0.16345062429057888</v>
      </c>
    </row>
    <row r="304" spans="1:11" x14ac:dyDescent="0.3">
      <c r="A304" s="8">
        <v>45324</v>
      </c>
      <c r="B304" s="9" t="s">
        <v>10</v>
      </c>
      <c r="C304" s="9" t="str">
        <f t="shared" si="16"/>
        <v>Campaign 303</v>
      </c>
      <c r="D304" s="9">
        <v>83</v>
      </c>
      <c r="E304" s="9">
        <v>35</v>
      </c>
      <c r="F304" s="9">
        <v>1990</v>
      </c>
      <c r="G304" s="9">
        <v>0.42</v>
      </c>
      <c r="H304" s="9">
        <v>1750</v>
      </c>
      <c r="I304" s="10">
        <f t="shared" si="17"/>
        <v>23.975903614457831</v>
      </c>
      <c r="J304" s="10">
        <f t="shared" si="18"/>
        <v>56.857142857142854</v>
      </c>
      <c r="K304" s="11">
        <f t="shared" si="19"/>
        <v>-0.12060301507537688</v>
      </c>
    </row>
    <row r="305" spans="1:11" x14ac:dyDescent="0.3">
      <c r="A305" s="8">
        <v>45325</v>
      </c>
      <c r="B305" s="9" t="s">
        <v>10</v>
      </c>
      <c r="C305" s="9" t="str">
        <f t="shared" si="16"/>
        <v>Campaign 304</v>
      </c>
      <c r="D305" s="9">
        <v>99</v>
      </c>
      <c r="E305" s="9">
        <v>15</v>
      </c>
      <c r="F305" s="9">
        <v>1050</v>
      </c>
      <c r="G305" s="9">
        <v>0.15</v>
      </c>
      <c r="H305" s="9">
        <v>750</v>
      </c>
      <c r="I305" s="10">
        <f t="shared" si="17"/>
        <v>10.606060606060606</v>
      </c>
      <c r="J305" s="10">
        <f t="shared" si="18"/>
        <v>70</v>
      </c>
      <c r="K305" s="11">
        <f t="shared" si="19"/>
        <v>-0.2857142857142857</v>
      </c>
    </row>
    <row r="306" spans="1:11" x14ac:dyDescent="0.3">
      <c r="A306" s="8">
        <v>45326</v>
      </c>
      <c r="B306" s="9" t="s">
        <v>10</v>
      </c>
      <c r="C306" s="9" t="str">
        <f t="shared" si="16"/>
        <v>Campaign 305</v>
      </c>
      <c r="D306" s="9">
        <v>46</v>
      </c>
      <c r="E306" s="9">
        <v>37</v>
      </c>
      <c r="F306" s="9">
        <v>1563</v>
      </c>
      <c r="G306" s="9">
        <v>0.8</v>
      </c>
      <c r="H306" s="9">
        <v>1850</v>
      </c>
      <c r="I306" s="10">
        <f t="shared" si="17"/>
        <v>33.978260869565219</v>
      </c>
      <c r="J306" s="10">
        <f t="shared" si="18"/>
        <v>42.243243243243242</v>
      </c>
      <c r="K306" s="11">
        <f t="shared" si="19"/>
        <v>0.18362124120281509</v>
      </c>
    </row>
    <row r="307" spans="1:11" x14ac:dyDescent="0.3">
      <c r="A307" s="8">
        <v>45327</v>
      </c>
      <c r="B307" s="9" t="s">
        <v>10</v>
      </c>
      <c r="C307" s="9" t="str">
        <f t="shared" si="16"/>
        <v>Campaign 306</v>
      </c>
      <c r="D307" s="9">
        <v>56</v>
      </c>
      <c r="E307" s="9">
        <v>27</v>
      </c>
      <c r="F307" s="9">
        <v>1497</v>
      </c>
      <c r="G307" s="9">
        <v>0.48</v>
      </c>
      <c r="H307" s="9">
        <v>1350</v>
      </c>
      <c r="I307" s="10">
        <f t="shared" si="17"/>
        <v>26.732142857142858</v>
      </c>
      <c r="J307" s="10">
        <f t="shared" si="18"/>
        <v>55.444444444444443</v>
      </c>
      <c r="K307" s="11">
        <f t="shared" si="19"/>
        <v>-9.8196392785571143E-2</v>
      </c>
    </row>
    <row r="308" spans="1:11" x14ac:dyDescent="0.3">
      <c r="A308" s="8">
        <v>45328</v>
      </c>
      <c r="B308" s="9" t="s">
        <v>10</v>
      </c>
      <c r="C308" s="9" t="str">
        <f t="shared" si="16"/>
        <v>Campaign 307</v>
      </c>
      <c r="D308" s="9">
        <v>77</v>
      </c>
      <c r="E308" s="9">
        <v>6</v>
      </c>
      <c r="F308" s="9">
        <v>1670</v>
      </c>
      <c r="G308" s="9">
        <v>0.08</v>
      </c>
      <c r="H308" s="9">
        <v>300</v>
      </c>
      <c r="I308" s="10">
        <f t="shared" si="17"/>
        <v>21.688311688311689</v>
      </c>
      <c r="J308" s="10">
        <f t="shared" si="18"/>
        <v>278.33333333333331</v>
      </c>
      <c r="K308" s="11">
        <f t="shared" si="19"/>
        <v>-0.82035928143712578</v>
      </c>
    </row>
    <row r="309" spans="1:11" x14ac:dyDescent="0.3">
      <c r="A309" s="8">
        <v>45329</v>
      </c>
      <c r="B309" s="9" t="s">
        <v>10</v>
      </c>
      <c r="C309" s="9" t="str">
        <f t="shared" si="16"/>
        <v>Campaign 308</v>
      </c>
      <c r="D309" s="9">
        <v>36</v>
      </c>
      <c r="E309" s="9">
        <v>39</v>
      </c>
      <c r="F309" s="9">
        <v>1623</v>
      </c>
      <c r="G309" s="9">
        <v>1.08</v>
      </c>
      <c r="H309" s="9">
        <v>1950</v>
      </c>
      <c r="I309" s="10">
        <f t="shared" si="17"/>
        <v>45.083333333333336</v>
      </c>
      <c r="J309" s="10">
        <f t="shared" si="18"/>
        <v>41.615384615384613</v>
      </c>
      <c r="K309" s="11">
        <f t="shared" si="19"/>
        <v>0.20147874306839186</v>
      </c>
    </row>
    <row r="310" spans="1:11" x14ac:dyDescent="0.3">
      <c r="A310" s="8">
        <v>45330</v>
      </c>
      <c r="B310" s="9" t="s">
        <v>10</v>
      </c>
      <c r="C310" s="9" t="str">
        <f t="shared" si="16"/>
        <v>Campaign 309</v>
      </c>
      <c r="D310" s="9">
        <v>84</v>
      </c>
      <c r="E310" s="9">
        <v>31</v>
      </c>
      <c r="F310" s="9">
        <v>1205</v>
      </c>
      <c r="G310" s="9">
        <v>0.37</v>
      </c>
      <c r="H310" s="9">
        <v>1550</v>
      </c>
      <c r="I310" s="10">
        <f t="shared" si="17"/>
        <v>14.345238095238095</v>
      </c>
      <c r="J310" s="10">
        <f t="shared" si="18"/>
        <v>38.87096774193548</v>
      </c>
      <c r="K310" s="11">
        <f t="shared" si="19"/>
        <v>0.2863070539419087</v>
      </c>
    </row>
    <row r="311" spans="1:11" x14ac:dyDescent="0.3">
      <c r="A311" s="8">
        <v>45331</v>
      </c>
      <c r="B311" s="9" t="s">
        <v>10</v>
      </c>
      <c r="C311" s="9" t="str">
        <f t="shared" si="16"/>
        <v>Campaign 310</v>
      </c>
      <c r="D311" s="9">
        <v>142</v>
      </c>
      <c r="E311" s="9">
        <v>38</v>
      </c>
      <c r="F311" s="9">
        <v>373</v>
      </c>
      <c r="G311" s="9">
        <v>0.27</v>
      </c>
      <c r="H311" s="9">
        <v>1900</v>
      </c>
      <c r="I311" s="10">
        <f t="shared" si="17"/>
        <v>2.6267605633802815</v>
      </c>
      <c r="J311" s="10">
        <f t="shared" si="18"/>
        <v>9.8157894736842106</v>
      </c>
      <c r="K311" s="11">
        <f t="shared" si="19"/>
        <v>4.0938337801608577</v>
      </c>
    </row>
    <row r="312" spans="1:11" x14ac:dyDescent="0.3">
      <c r="A312" s="8">
        <v>45332</v>
      </c>
      <c r="B312" s="9" t="s">
        <v>10</v>
      </c>
      <c r="C312" s="9" t="str">
        <f t="shared" si="16"/>
        <v>Campaign 311</v>
      </c>
      <c r="D312" s="9">
        <v>28</v>
      </c>
      <c r="E312" s="9">
        <v>7</v>
      </c>
      <c r="F312" s="9">
        <v>1409</v>
      </c>
      <c r="G312" s="9">
        <v>0.25</v>
      </c>
      <c r="H312" s="9">
        <v>350</v>
      </c>
      <c r="I312" s="10">
        <f t="shared" si="17"/>
        <v>50.321428571428569</v>
      </c>
      <c r="J312" s="10">
        <f t="shared" si="18"/>
        <v>201.28571428571428</v>
      </c>
      <c r="K312" s="11">
        <f t="shared" si="19"/>
        <v>-0.75159687721788504</v>
      </c>
    </row>
    <row r="313" spans="1:11" x14ac:dyDescent="0.3">
      <c r="A313" s="8">
        <v>45333</v>
      </c>
      <c r="B313" s="9" t="s">
        <v>10</v>
      </c>
      <c r="C313" s="9" t="str">
        <f t="shared" si="16"/>
        <v>Campaign 312</v>
      </c>
      <c r="D313" s="9">
        <v>125</v>
      </c>
      <c r="E313" s="9">
        <v>29</v>
      </c>
      <c r="F313" s="9">
        <v>1076</v>
      </c>
      <c r="G313" s="9">
        <v>0.23</v>
      </c>
      <c r="H313" s="9">
        <v>1450</v>
      </c>
      <c r="I313" s="10">
        <f t="shared" si="17"/>
        <v>8.6080000000000005</v>
      </c>
      <c r="J313" s="10">
        <f t="shared" si="18"/>
        <v>37.103448275862071</v>
      </c>
      <c r="K313" s="11">
        <f t="shared" si="19"/>
        <v>0.34758364312267659</v>
      </c>
    </row>
    <row r="314" spans="1:11" x14ac:dyDescent="0.3">
      <c r="A314" s="8">
        <v>45334</v>
      </c>
      <c r="B314" s="9" t="s">
        <v>10</v>
      </c>
      <c r="C314" s="9" t="str">
        <f t="shared" si="16"/>
        <v>Campaign 313</v>
      </c>
      <c r="D314" s="9">
        <v>31</v>
      </c>
      <c r="E314" s="9">
        <v>9</v>
      </c>
      <c r="F314" s="9">
        <v>371</v>
      </c>
      <c r="G314" s="9">
        <v>0.28999999999999998</v>
      </c>
      <c r="H314" s="9">
        <v>450</v>
      </c>
      <c r="I314" s="10">
        <f t="shared" si="17"/>
        <v>11.96774193548387</v>
      </c>
      <c r="J314" s="10">
        <f t="shared" si="18"/>
        <v>41.222222222222221</v>
      </c>
      <c r="K314" s="11">
        <f t="shared" si="19"/>
        <v>0.21293800539083557</v>
      </c>
    </row>
    <row r="315" spans="1:11" x14ac:dyDescent="0.3">
      <c r="A315" s="8">
        <v>45335</v>
      </c>
      <c r="B315" s="9" t="s">
        <v>10</v>
      </c>
      <c r="C315" s="9" t="str">
        <f t="shared" si="16"/>
        <v>Campaign 314</v>
      </c>
      <c r="D315" s="9">
        <v>89</v>
      </c>
      <c r="E315" s="9">
        <v>42</v>
      </c>
      <c r="F315" s="9">
        <v>1984</v>
      </c>
      <c r="G315" s="9">
        <v>0.47</v>
      </c>
      <c r="H315" s="9">
        <v>2100</v>
      </c>
      <c r="I315" s="10">
        <f t="shared" si="17"/>
        <v>22.292134831460675</v>
      </c>
      <c r="J315" s="10">
        <f t="shared" si="18"/>
        <v>47.238095238095241</v>
      </c>
      <c r="K315" s="11">
        <f t="shared" si="19"/>
        <v>5.8467741935483868E-2</v>
      </c>
    </row>
    <row r="316" spans="1:11" x14ac:dyDescent="0.3">
      <c r="A316" s="8">
        <v>45336</v>
      </c>
      <c r="B316" s="9" t="s">
        <v>10</v>
      </c>
      <c r="C316" s="9" t="str">
        <f t="shared" si="16"/>
        <v>Campaign 315</v>
      </c>
      <c r="D316" s="9">
        <v>81</v>
      </c>
      <c r="E316" s="9">
        <v>40</v>
      </c>
      <c r="F316" s="9">
        <v>352</v>
      </c>
      <c r="G316" s="9">
        <v>0.49</v>
      </c>
      <c r="H316" s="9">
        <v>2000</v>
      </c>
      <c r="I316" s="10">
        <f t="shared" si="17"/>
        <v>4.3456790123456788</v>
      </c>
      <c r="J316" s="10">
        <f t="shared" si="18"/>
        <v>8.8000000000000007</v>
      </c>
      <c r="K316" s="11">
        <f t="shared" si="19"/>
        <v>4.6818181818181817</v>
      </c>
    </row>
    <row r="317" spans="1:11" x14ac:dyDescent="0.3">
      <c r="A317" s="8">
        <v>45337</v>
      </c>
      <c r="B317" s="9" t="s">
        <v>10</v>
      </c>
      <c r="C317" s="9" t="str">
        <f t="shared" si="16"/>
        <v>Campaign 316</v>
      </c>
      <c r="D317" s="9">
        <v>26</v>
      </c>
      <c r="E317" s="9">
        <v>26</v>
      </c>
      <c r="F317" s="9">
        <v>750</v>
      </c>
      <c r="G317" s="9">
        <v>1</v>
      </c>
      <c r="H317" s="9">
        <v>1300</v>
      </c>
      <c r="I317" s="10">
        <f t="shared" si="17"/>
        <v>28.846153846153847</v>
      </c>
      <c r="J317" s="10">
        <f t="shared" si="18"/>
        <v>28.846153846153847</v>
      </c>
      <c r="K317" s="11">
        <f t="shared" si="19"/>
        <v>0.73333333333333328</v>
      </c>
    </row>
    <row r="318" spans="1:11" x14ac:dyDescent="0.3">
      <c r="A318" s="8">
        <v>45338</v>
      </c>
      <c r="B318" s="9" t="s">
        <v>10</v>
      </c>
      <c r="C318" s="9" t="str">
        <f t="shared" si="16"/>
        <v>Campaign 317</v>
      </c>
      <c r="D318" s="9">
        <v>142</v>
      </c>
      <c r="E318" s="9">
        <v>21</v>
      </c>
      <c r="F318" s="9">
        <v>209</v>
      </c>
      <c r="G318" s="9">
        <v>0.15</v>
      </c>
      <c r="H318" s="9">
        <v>1050</v>
      </c>
      <c r="I318" s="10">
        <f t="shared" si="17"/>
        <v>1.471830985915493</v>
      </c>
      <c r="J318" s="10">
        <f t="shared" si="18"/>
        <v>9.9523809523809526</v>
      </c>
      <c r="K318" s="11">
        <f t="shared" si="19"/>
        <v>4.0239234449760763</v>
      </c>
    </row>
    <row r="319" spans="1:11" x14ac:dyDescent="0.3">
      <c r="A319" s="8">
        <v>45339</v>
      </c>
      <c r="B319" s="9" t="s">
        <v>10</v>
      </c>
      <c r="C319" s="9" t="str">
        <f t="shared" si="16"/>
        <v>Campaign 318</v>
      </c>
      <c r="D319" s="9">
        <v>126</v>
      </c>
      <c r="E319" s="9">
        <v>30</v>
      </c>
      <c r="F319" s="9">
        <v>1006</v>
      </c>
      <c r="G319" s="9">
        <v>0.24</v>
      </c>
      <c r="H319" s="9">
        <v>1500</v>
      </c>
      <c r="I319" s="10">
        <f t="shared" si="17"/>
        <v>7.9841269841269842</v>
      </c>
      <c r="J319" s="10">
        <f t="shared" si="18"/>
        <v>33.533333333333331</v>
      </c>
      <c r="K319" s="11">
        <f t="shared" si="19"/>
        <v>0.49105367793240556</v>
      </c>
    </row>
    <row r="320" spans="1:11" x14ac:dyDescent="0.3">
      <c r="A320" s="8">
        <v>45340</v>
      </c>
      <c r="B320" s="9" t="s">
        <v>10</v>
      </c>
      <c r="C320" s="9" t="str">
        <f t="shared" si="16"/>
        <v>Campaign 319</v>
      </c>
      <c r="D320" s="9">
        <v>50</v>
      </c>
      <c r="E320" s="9">
        <v>25</v>
      </c>
      <c r="F320" s="9">
        <v>1748</v>
      </c>
      <c r="G320" s="9">
        <v>0.5</v>
      </c>
      <c r="H320" s="9">
        <v>1250</v>
      </c>
      <c r="I320" s="10">
        <f t="shared" si="17"/>
        <v>34.96</v>
      </c>
      <c r="J320" s="10">
        <f t="shared" si="18"/>
        <v>69.92</v>
      </c>
      <c r="K320" s="11">
        <f t="shared" si="19"/>
        <v>-0.28489702517162474</v>
      </c>
    </row>
    <row r="321" spans="1:11" x14ac:dyDescent="0.3">
      <c r="A321" s="8">
        <v>45341</v>
      </c>
      <c r="B321" s="9" t="s">
        <v>10</v>
      </c>
      <c r="C321" s="9" t="str">
        <f t="shared" si="16"/>
        <v>Campaign 320</v>
      </c>
      <c r="D321" s="9">
        <v>37</v>
      </c>
      <c r="E321" s="9">
        <v>49</v>
      </c>
      <c r="F321" s="9">
        <v>942</v>
      </c>
      <c r="G321" s="9">
        <v>1.32</v>
      </c>
      <c r="H321" s="9">
        <v>2450</v>
      </c>
      <c r="I321" s="10">
        <f t="shared" si="17"/>
        <v>25.45945945945946</v>
      </c>
      <c r="J321" s="10">
        <f t="shared" si="18"/>
        <v>19.224489795918366</v>
      </c>
      <c r="K321" s="11">
        <f t="shared" si="19"/>
        <v>1.6008492569002124</v>
      </c>
    </row>
    <row r="322" spans="1:11" x14ac:dyDescent="0.3">
      <c r="A322" s="8">
        <v>45342</v>
      </c>
      <c r="B322" s="9" t="s">
        <v>10</v>
      </c>
      <c r="C322" s="9" t="str">
        <f t="shared" si="16"/>
        <v>Campaign 321</v>
      </c>
      <c r="D322" s="9">
        <v>88</v>
      </c>
      <c r="E322" s="9">
        <v>28</v>
      </c>
      <c r="F322" s="9">
        <v>1047</v>
      </c>
      <c r="G322" s="9">
        <v>0.32</v>
      </c>
      <c r="H322" s="9">
        <v>1400</v>
      </c>
      <c r="I322" s="10">
        <f t="shared" si="17"/>
        <v>11.897727272727273</v>
      </c>
      <c r="J322" s="10">
        <f t="shared" si="18"/>
        <v>37.392857142857146</v>
      </c>
      <c r="K322" s="11">
        <f t="shared" si="19"/>
        <v>0.33715377268385865</v>
      </c>
    </row>
    <row r="323" spans="1:11" x14ac:dyDescent="0.3">
      <c r="A323" s="8">
        <v>45343</v>
      </c>
      <c r="B323" s="9" t="s">
        <v>10</v>
      </c>
      <c r="C323" s="9" t="str">
        <f t="shared" ref="C323:C361" si="20" xml:space="preserve"> "Campaign " &amp; ROW()-1</f>
        <v>Campaign 322</v>
      </c>
      <c r="D323" s="9">
        <v>140</v>
      </c>
      <c r="E323" s="9">
        <v>36</v>
      </c>
      <c r="F323" s="9">
        <v>1903</v>
      </c>
      <c r="G323" s="9">
        <v>0.26</v>
      </c>
      <c r="H323" s="9">
        <v>1800</v>
      </c>
      <c r="I323" s="10">
        <f t="shared" ref="I323:I361" si="21" xml:space="preserve"> F323 / D323</f>
        <v>13.592857142857143</v>
      </c>
      <c r="J323" s="10">
        <f t="shared" ref="J323:J361" si="22" xml:space="preserve"> F323 / E323</f>
        <v>52.861111111111114</v>
      </c>
      <c r="K323" s="11">
        <f t="shared" ref="K323:K361" si="23" xml:space="preserve"> (H323 - F323) / F323</f>
        <v>-5.4125065685759324E-2</v>
      </c>
    </row>
    <row r="324" spans="1:11" x14ac:dyDescent="0.3">
      <c r="A324" s="8">
        <v>45344</v>
      </c>
      <c r="B324" s="9" t="s">
        <v>10</v>
      </c>
      <c r="C324" s="9" t="str">
        <f t="shared" si="20"/>
        <v>Campaign 323</v>
      </c>
      <c r="D324" s="9">
        <v>28</v>
      </c>
      <c r="E324" s="9">
        <v>11</v>
      </c>
      <c r="F324" s="9">
        <v>1260</v>
      </c>
      <c r="G324" s="9">
        <v>0.39</v>
      </c>
      <c r="H324" s="9">
        <v>550</v>
      </c>
      <c r="I324" s="10">
        <f t="shared" si="21"/>
        <v>45</v>
      </c>
      <c r="J324" s="10">
        <f t="shared" si="22"/>
        <v>114.54545454545455</v>
      </c>
      <c r="K324" s="11">
        <f t="shared" si="23"/>
        <v>-0.56349206349206349</v>
      </c>
    </row>
    <row r="325" spans="1:11" x14ac:dyDescent="0.3">
      <c r="A325" s="8">
        <v>45345</v>
      </c>
      <c r="B325" s="9" t="s">
        <v>10</v>
      </c>
      <c r="C325" s="9" t="str">
        <f t="shared" si="20"/>
        <v>Campaign 324</v>
      </c>
      <c r="D325" s="9">
        <v>148</v>
      </c>
      <c r="E325" s="9">
        <v>36</v>
      </c>
      <c r="F325" s="9">
        <v>1001</v>
      </c>
      <c r="G325" s="9">
        <v>0.24</v>
      </c>
      <c r="H325" s="9">
        <v>1800</v>
      </c>
      <c r="I325" s="10">
        <f t="shared" si="21"/>
        <v>6.7635135135135132</v>
      </c>
      <c r="J325" s="10">
        <f t="shared" si="22"/>
        <v>27.805555555555557</v>
      </c>
      <c r="K325" s="11">
        <f t="shared" si="23"/>
        <v>0.79820179820179815</v>
      </c>
    </row>
    <row r="326" spans="1:11" x14ac:dyDescent="0.3">
      <c r="A326" s="8">
        <v>45346</v>
      </c>
      <c r="B326" s="9" t="s">
        <v>10</v>
      </c>
      <c r="C326" s="9" t="str">
        <f t="shared" si="20"/>
        <v>Campaign 325</v>
      </c>
      <c r="D326" s="9">
        <v>134</v>
      </c>
      <c r="E326" s="9">
        <v>27</v>
      </c>
      <c r="F326" s="9">
        <v>283</v>
      </c>
      <c r="G326" s="9">
        <v>0.2</v>
      </c>
      <c r="H326" s="9">
        <v>1350</v>
      </c>
      <c r="I326" s="10">
        <f t="shared" si="21"/>
        <v>2.1119402985074629</v>
      </c>
      <c r="J326" s="10">
        <f t="shared" si="22"/>
        <v>10.481481481481481</v>
      </c>
      <c r="K326" s="11">
        <f t="shared" si="23"/>
        <v>3.7703180212014136</v>
      </c>
    </row>
    <row r="327" spans="1:11" x14ac:dyDescent="0.3">
      <c r="A327" s="8">
        <v>45347</v>
      </c>
      <c r="B327" s="9" t="s">
        <v>10</v>
      </c>
      <c r="C327" s="9" t="str">
        <f t="shared" si="20"/>
        <v>Campaign 326</v>
      </c>
      <c r="D327" s="9">
        <v>80</v>
      </c>
      <c r="E327" s="9">
        <v>26</v>
      </c>
      <c r="F327" s="9">
        <v>1152</v>
      </c>
      <c r="G327" s="9">
        <v>0.32</v>
      </c>
      <c r="H327" s="9">
        <v>1300</v>
      </c>
      <c r="I327" s="10">
        <f t="shared" si="21"/>
        <v>14.4</v>
      </c>
      <c r="J327" s="10">
        <f t="shared" si="22"/>
        <v>44.307692307692307</v>
      </c>
      <c r="K327" s="11">
        <f t="shared" si="23"/>
        <v>0.12847222222222221</v>
      </c>
    </row>
    <row r="328" spans="1:11" x14ac:dyDescent="0.3">
      <c r="A328" s="8">
        <v>45348</v>
      </c>
      <c r="B328" s="9" t="s">
        <v>10</v>
      </c>
      <c r="C328" s="9" t="str">
        <f t="shared" si="20"/>
        <v>Campaign 327</v>
      </c>
      <c r="D328" s="9">
        <v>78</v>
      </c>
      <c r="E328" s="9">
        <v>27</v>
      </c>
      <c r="F328" s="9">
        <v>1650</v>
      </c>
      <c r="G328" s="9">
        <v>0.35</v>
      </c>
      <c r="H328" s="9">
        <v>1350</v>
      </c>
      <c r="I328" s="10">
        <f t="shared" si="21"/>
        <v>21.153846153846153</v>
      </c>
      <c r="J328" s="10">
        <f t="shared" si="22"/>
        <v>61.111111111111114</v>
      </c>
      <c r="K328" s="11">
        <f t="shared" si="23"/>
        <v>-0.18181818181818182</v>
      </c>
    </row>
    <row r="329" spans="1:11" x14ac:dyDescent="0.3">
      <c r="A329" s="8">
        <v>45349</v>
      </c>
      <c r="B329" s="9" t="s">
        <v>10</v>
      </c>
      <c r="C329" s="9" t="str">
        <f t="shared" si="20"/>
        <v>Campaign 328</v>
      </c>
      <c r="D329" s="9">
        <v>122</v>
      </c>
      <c r="E329" s="9">
        <v>14</v>
      </c>
      <c r="F329" s="9">
        <v>518</v>
      </c>
      <c r="G329" s="9">
        <v>0.11</v>
      </c>
      <c r="H329" s="9">
        <v>700</v>
      </c>
      <c r="I329" s="10">
        <f t="shared" si="21"/>
        <v>4.2459016393442619</v>
      </c>
      <c r="J329" s="10">
        <f t="shared" si="22"/>
        <v>37</v>
      </c>
      <c r="K329" s="11">
        <f t="shared" si="23"/>
        <v>0.35135135135135137</v>
      </c>
    </row>
    <row r="330" spans="1:11" x14ac:dyDescent="0.3">
      <c r="A330" s="8">
        <v>45350</v>
      </c>
      <c r="B330" s="9" t="s">
        <v>10</v>
      </c>
      <c r="C330" s="9" t="str">
        <f t="shared" si="20"/>
        <v>Campaign 329</v>
      </c>
      <c r="D330" s="9">
        <v>71</v>
      </c>
      <c r="E330" s="9">
        <v>45</v>
      </c>
      <c r="F330" s="9">
        <v>338</v>
      </c>
      <c r="G330" s="9">
        <v>0.63</v>
      </c>
      <c r="H330" s="9">
        <v>2250</v>
      </c>
      <c r="I330" s="10">
        <f t="shared" si="21"/>
        <v>4.76056338028169</v>
      </c>
      <c r="J330" s="10">
        <f t="shared" si="22"/>
        <v>7.5111111111111111</v>
      </c>
      <c r="K330" s="11">
        <f t="shared" si="23"/>
        <v>5.6568047337278102</v>
      </c>
    </row>
    <row r="331" spans="1:11" x14ac:dyDescent="0.3">
      <c r="A331" s="8">
        <v>45351</v>
      </c>
      <c r="B331" s="9" t="s">
        <v>10</v>
      </c>
      <c r="C331" s="9" t="str">
        <f t="shared" si="20"/>
        <v>Campaign 330</v>
      </c>
      <c r="D331" s="9">
        <v>133</v>
      </c>
      <c r="E331" s="9">
        <v>24</v>
      </c>
      <c r="F331" s="9">
        <v>469</v>
      </c>
      <c r="G331" s="9">
        <v>0.18</v>
      </c>
      <c r="H331" s="9">
        <v>1200</v>
      </c>
      <c r="I331" s="10">
        <f t="shared" si="21"/>
        <v>3.5263157894736841</v>
      </c>
      <c r="J331" s="10">
        <f t="shared" si="22"/>
        <v>19.541666666666668</v>
      </c>
      <c r="K331" s="11">
        <f t="shared" si="23"/>
        <v>1.5586353944562901</v>
      </c>
    </row>
    <row r="332" spans="1:11" x14ac:dyDescent="0.3">
      <c r="A332" s="8">
        <v>45352</v>
      </c>
      <c r="B332" s="9" t="s">
        <v>10</v>
      </c>
      <c r="C332" s="9" t="str">
        <f t="shared" si="20"/>
        <v>Campaign 331</v>
      </c>
      <c r="D332" s="9">
        <v>93</v>
      </c>
      <c r="E332" s="9">
        <v>46</v>
      </c>
      <c r="F332" s="9">
        <v>1723</v>
      </c>
      <c r="G332" s="9">
        <v>0.49</v>
      </c>
      <c r="H332" s="9">
        <v>2300</v>
      </c>
      <c r="I332" s="10">
        <f t="shared" si="21"/>
        <v>18.526881720430108</v>
      </c>
      <c r="J332" s="10">
        <f t="shared" si="22"/>
        <v>37.456521739130437</v>
      </c>
      <c r="K332" s="11">
        <f t="shared" si="23"/>
        <v>0.33488102147417298</v>
      </c>
    </row>
    <row r="333" spans="1:11" x14ac:dyDescent="0.3">
      <c r="A333" s="8">
        <v>45353</v>
      </c>
      <c r="B333" s="9" t="s">
        <v>10</v>
      </c>
      <c r="C333" s="9" t="str">
        <f t="shared" si="20"/>
        <v>Campaign 332</v>
      </c>
      <c r="D333" s="9">
        <v>42</v>
      </c>
      <c r="E333" s="9">
        <v>9</v>
      </c>
      <c r="F333" s="9">
        <v>1178</v>
      </c>
      <c r="G333" s="9">
        <v>0.21</v>
      </c>
      <c r="H333" s="9">
        <v>450</v>
      </c>
      <c r="I333" s="10">
        <f t="shared" si="21"/>
        <v>28.047619047619047</v>
      </c>
      <c r="J333" s="10">
        <f t="shared" si="22"/>
        <v>130.88888888888889</v>
      </c>
      <c r="K333" s="11">
        <f t="shared" si="23"/>
        <v>-0.61799660441426141</v>
      </c>
    </row>
    <row r="334" spans="1:11" x14ac:dyDescent="0.3">
      <c r="A334" s="8">
        <v>45354</v>
      </c>
      <c r="B334" s="9" t="s">
        <v>10</v>
      </c>
      <c r="C334" s="9" t="str">
        <f t="shared" si="20"/>
        <v>Campaign 333</v>
      </c>
      <c r="D334" s="9">
        <v>139</v>
      </c>
      <c r="E334" s="9">
        <v>42</v>
      </c>
      <c r="F334" s="9">
        <v>375</v>
      </c>
      <c r="G334" s="9">
        <v>0.3</v>
      </c>
      <c r="H334" s="9">
        <v>2100</v>
      </c>
      <c r="I334" s="10">
        <f t="shared" si="21"/>
        <v>2.6978417266187051</v>
      </c>
      <c r="J334" s="10">
        <f t="shared" si="22"/>
        <v>8.9285714285714288</v>
      </c>
      <c r="K334" s="11">
        <f t="shared" si="23"/>
        <v>4.5999999999999996</v>
      </c>
    </row>
    <row r="335" spans="1:11" x14ac:dyDescent="0.3">
      <c r="A335" s="8">
        <v>45355</v>
      </c>
      <c r="B335" s="9" t="s">
        <v>10</v>
      </c>
      <c r="C335" s="9" t="str">
        <f t="shared" si="20"/>
        <v>Campaign 334</v>
      </c>
      <c r="D335" s="9">
        <v>134</v>
      </c>
      <c r="E335" s="9">
        <v>37</v>
      </c>
      <c r="F335" s="9">
        <v>1650</v>
      </c>
      <c r="G335" s="9">
        <v>0.28000000000000003</v>
      </c>
      <c r="H335" s="9">
        <v>1850</v>
      </c>
      <c r="I335" s="10">
        <f t="shared" si="21"/>
        <v>12.313432835820896</v>
      </c>
      <c r="J335" s="10">
        <f t="shared" si="22"/>
        <v>44.594594594594597</v>
      </c>
      <c r="K335" s="11">
        <f t="shared" si="23"/>
        <v>0.12121212121212122</v>
      </c>
    </row>
    <row r="336" spans="1:11" x14ac:dyDescent="0.3">
      <c r="A336" s="8">
        <v>45356</v>
      </c>
      <c r="B336" s="9" t="s">
        <v>10</v>
      </c>
      <c r="C336" s="9" t="str">
        <f t="shared" si="20"/>
        <v>Campaign 335</v>
      </c>
      <c r="D336" s="9">
        <v>99</v>
      </c>
      <c r="E336" s="9">
        <v>12</v>
      </c>
      <c r="F336" s="9">
        <v>634</v>
      </c>
      <c r="G336" s="9">
        <v>0.12</v>
      </c>
      <c r="H336" s="9">
        <v>600</v>
      </c>
      <c r="I336" s="10">
        <f t="shared" si="21"/>
        <v>6.404040404040404</v>
      </c>
      <c r="J336" s="10">
        <f t="shared" si="22"/>
        <v>52.833333333333336</v>
      </c>
      <c r="K336" s="11">
        <f t="shared" si="23"/>
        <v>-5.362776025236593E-2</v>
      </c>
    </row>
    <row r="337" spans="1:11" x14ac:dyDescent="0.3">
      <c r="A337" s="8">
        <v>45357</v>
      </c>
      <c r="B337" s="9" t="s">
        <v>10</v>
      </c>
      <c r="C337" s="9" t="str">
        <f t="shared" si="20"/>
        <v>Campaign 336</v>
      </c>
      <c r="D337" s="9">
        <v>28</v>
      </c>
      <c r="E337" s="9">
        <v>40</v>
      </c>
      <c r="F337" s="9">
        <v>161</v>
      </c>
      <c r="G337" s="9">
        <v>1.43</v>
      </c>
      <c r="H337" s="9">
        <v>2000</v>
      </c>
      <c r="I337" s="10">
        <f t="shared" si="21"/>
        <v>5.75</v>
      </c>
      <c r="J337" s="10">
        <f t="shared" si="22"/>
        <v>4.0250000000000004</v>
      </c>
      <c r="K337" s="11">
        <f t="shared" si="23"/>
        <v>11.422360248447205</v>
      </c>
    </row>
    <row r="338" spans="1:11" x14ac:dyDescent="0.3">
      <c r="A338" s="8">
        <v>45358</v>
      </c>
      <c r="B338" s="9" t="s">
        <v>10</v>
      </c>
      <c r="C338" s="9" t="str">
        <f t="shared" si="20"/>
        <v>Campaign 337</v>
      </c>
      <c r="D338" s="9">
        <v>120</v>
      </c>
      <c r="E338" s="9">
        <v>28</v>
      </c>
      <c r="F338" s="9">
        <v>815</v>
      </c>
      <c r="G338" s="9">
        <v>0.23</v>
      </c>
      <c r="H338" s="9">
        <v>1400</v>
      </c>
      <c r="I338" s="10">
        <f t="shared" si="21"/>
        <v>6.791666666666667</v>
      </c>
      <c r="J338" s="10">
        <f t="shared" si="22"/>
        <v>29.107142857142858</v>
      </c>
      <c r="K338" s="11">
        <f t="shared" si="23"/>
        <v>0.71779141104294475</v>
      </c>
    </row>
    <row r="339" spans="1:11" x14ac:dyDescent="0.3">
      <c r="A339" s="8">
        <v>45359</v>
      </c>
      <c r="B339" s="9" t="s">
        <v>10</v>
      </c>
      <c r="C339" s="9" t="str">
        <f t="shared" si="20"/>
        <v>Campaign 338</v>
      </c>
      <c r="D339" s="9">
        <v>23</v>
      </c>
      <c r="E339" s="9">
        <v>20</v>
      </c>
      <c r="F339" s="9">
        <v>1979</v>
      </c>
      <c r="G339" s="9">
        <v>0.87</v>
      </c>
      <c r="H339" s="9">
        <v>1000</v>
      </c>
      <c r="I339" s="10">
        <f t="shared" si="21"/>
        <v>86.043478260869563</v>
      </c>
      <c r="J339" s="10">
        <f t="shared" si="22"/>
        <v>98.95</v>
      </c>
      <c r="K339" s="11">
        <f t="shared" si="23"/>
        <v>-0.49469429004547749</v>
      </c>
    </row>
    <row r="340" spans="1:11" x14ac:dyDescent="0.3">
      <c r="A340" s="8">
        <v>45360</v>
      </c>
      <c r="B340" s="9" t="s">
        <v>10</v>
      </c>
      <c r="C340" s="9" t="str">
        <f t="shared" si="20"/>
        <v>Campaign 339</v>
      </c>
      <c r="D340" s="9">
        <v>77</v>
      </c>
      <c r="E340" s="9">
        <v>43</v>
      </c>
      <c r="F340" s="9">
        <v>486</v>
      </c>
      <c r="G340" s="9">
        <v>0.56000000000000005</v>
      </c>
      <c r="H340" s="9">
        <v>2150</v>
      </c>
      <c r="I340" s="10">
        <f t="shared" si="21"/>
        <v>6.3116883116883118</v>
      </c>
      <c r="J340" s="10">
        <f t="shared" si="22"/>
        <v>11.302325581395349</v>
      </c>
      <c r="K340" s="11">
        <f t="shared" si="23"/>
        <v>3.4238683127572016</v>
      </c>
    </row>
    <row r="341" spans="1:11" x14ac:dyDescent="0.3">
      <c r="A341" s="8">
        <v>45361</v>
      </c>
      <c r="B341" s="9" t="s">
        <v>10</v>
      </c>
      <c r="C341" s="9" t="str">
        <f t="shared" si="20"/>
        <v>Campaign 340</v>
      </c>
      <c r="D341" s="9">
        <v>139</v>
      </c>
      <c r="E341" s="9">
        <v>31</v>
      </c>
      <c r="F341" s="9">
        <v>745</v>
      </c>
      <c r="G341" s="9">
        <v>0.22</v>
      </c>
      <c r="H341" s="9">
        <v>1550</v>
      </c>
      <c r="I341" s="10">
        <f t="shared" si="21"/>
        <v>5.3597122302158278</v>
      </c>
      <c r="J341" s="10">
        <f t="shared" si="22"/>
        <v>24.032258064516128</v>
      </c>
      <c r="K341" s="11">
        <f t="shared" si="23"/>
        <v>1.080536912751678</v>
      </c>
    </row>
    <row r="342" spans="1:11" x14ac:dyDescent="0.3">
      <c r="A342" s="8">
        <v>45362</v>
      </c>
      <c r="B342" s="9" t="s">
        <v>10</v>
      </c>
      <c r="C342" s="9" t="str">
        <f t="shared" si="20"/>
        <v>Campaign 341</v>
      </c>
      <c r="D342" s="9">
        <v>33</v>
      </c>
      <c r="E342" s="9">
        <v>38</v>
      </c>
      <c r="F342" s="9">
        <v>464</v>
      </c>
      <c r="G342" s="9">
        <v>1.1499999999999999</v>
      </c>
      <c r="H342" s="9">
        <v>1900</v>
      </c>
      <c r="I342" s="10">
        <f t="shared" si="21"/>
        <v>14.060606060606061</v>
      </c>
      <c r="J342" s="10">
        <f t="shared" si="22"/>
        <v>12.210526315789474</v>
      </c>
      <c r="K342" s="11">
        <f t="shared" si="23"/>
        <v>3.0948275862068964</v>
      </c>
    </row>
    <row r="343" spans="1:11" x14ac:dyDescent="0.3">
      <c r="A343" s="8">
        <v>45363</v>
      </c>
      <c r="B343" s="9" t="s">
        <v>10</v>
      </c>
      <c r="C343" s="9" t="str">
        <f t="shared" si="20"/>
        <v>Campaign 342</v>
      </c>
      <c r="D343" s="9">
        <v>107</v>
      </c>
      <c r="E343" s="9">
        <v>10</v>
      </c>
      <c r="F343" s="9">
        <v>1483</v>
      </c>
      <c r="G343" s="9">
        <v>0.09</v>
      </c>
      <c r="H343" s="9">
        <v>500</v>
      </c>
      <c r="I343" s="10">
        <f t="shared" si="21"/>
        <v>13.859813084112149</v>
      </c>
      <c r="J343" s="10">
        <f t="shared" si="22"/>
        <v>148.30000000000001</v>
      </c>
      <c r="K343" s="11">
        <f t="shared" si="23"/>
        <v>-0.66284558327714094</v>
      </c>
    </row>
    <row r="344" spans="1:11" x14ac:dyDescent="0.3">
      <c r="A344" s="8">
        <v>45364</v>
      </c>
      <c r="B344" s="9" t="s">
        <v>10</v>
      </c>
      <c r="C344" s="9" t="str">
        <f t="shared" si="20"/>
        <v>Campaign 343</v>
      </c>
      <c r="D344" s="9">
        <v>28</v>
      </c>
      <c r="E344" s="9">
        <v>49</v>
      </c>
      <c r="F344" s="9">
        <v>609</v>
      </c>
      <c r="G344" s="9">
        <v>1.75</v>
      </c>
      <c r="H344" s="9">
        <v>2450</v>
      </c>
      <c r="I344" s="10">
        <f t="shared" si="21"/>
        <v>21.75</v>
      </c>
      <c r="J344" s="10">
        <f t="shared" si="22"/>
        <v>12.428571428571429</v>
      </c>
      <c r="K344" s="11">
        <f t="shared" si="23"/>
        <v>3.0229885057471266</v>
      </c>
    </row>
    <row r="345" spans="1:11" x14ac:dyDescent="0.3">
      <c r="A345" s="8">
        <v>45365</v>
      </c>
      <c r="B345" s="9" t="s">
        <v>10</v>
      </c>
      <c r="C345" s="9" t="str">
        <f t="shared" si="20"/>
        <v>Campaign 344</v>
      </c>
      <c r="D345" s="9">
        <v>79</v>
      </c>
      <c r="E345" s="9">
        <v>19</v>
      </c>
      <c r="F345" s="9">
        <v>980</v>
      </c>
      <c r="G345" s="9">
        <v>0.24</v>
      </c>
      <c r="H345" s="9">
        <v>950</v>
      </c>
      <c r="I345" s="10">
        <f t="shared" si="21"/>
        <v>12.405063291139241</v>
      </c>
      <c r="J345" s="10">
        <f t="shared" si="22"/>
        <v>51.578947368421055</v>
      </c>
      <c r="K345" s="11">
        <f t="shared" si="23"/>
        <v>-3.0612244897959183E-2</v>
      </c>
    </row>
    <row r="346" spans="1:11" x14ac:dyDescent="0.3">
      <c r="A346" s="8">
        <v>45366</v>
      </c>
      <c r="B346" s="9" t="s">
        <v>10</v>
      </c>
      <c r="C346" s="9" t="str">
        <f t="shared" si="20"/>
        <v>Campaign 345</v>
      </c>
      <c r="D346" s="9">
        <v>70</v>
      </c>
      <c r="E346" s="9">
        <v>18</v>
      </c>
      <c r="F346" s="9">
        <v>1170</v>
      </c>
      <c r="G346" s="9">
        <v>0.26</v>
      </c>
      <c r="H346" s="9">
        <v>900</v>
      </c>
      <c r="I346" s="10">
        <f t="shared" si="21"/>
        <v>16.714285714285715</v>
      </c>
      <c r="J346" s="10">
        <f t="shared" si="22"/>
        <v>65</v>
      </c>
      <c r="K346" s="11">
        <f t="shared" si="23"/>
        <v>-0.23076923076923078</v>
      </c>
    </row>
    <row r="347" spans="1:11" x14ac:dyDescent="0.3">
      <c r="A347" s="8">
        <v>45367</v>
      </c>
      <c r="B347" s="9" t="s">
        <v>10</v>
      </c>
      <c r="C347" s="9" t="str">
        <f t="shared" si="20"/>
        <v>Campaign 346</v>
      </c>
      <c r="D347" s="9">
        <v>35</v>
      </c>
      <c r="E347" s="9">
        <v>6</v>
      </c>
      <c r="F347" s="9">
        <v>1173</v>
      </c>
      <c r="G347" s="9">
        <v>0.17</v>
      </c>
      <c r="H347" s="9">
        <v>300</v>
      </c>
      <c r="I347" s="10">
        <f t="shared" si="21"/>
        <v>33.514285714285712</v>
      </c>
      <c r="J347" s="10">
        <f t="shared" si="22"/>
        <v>195.5</v>
      </c>
      <c r="K347" s="11">
        <f t="shared" si="23"/>
        <v>-0.74424552429667523</v>
      </c>
    </row>
    <row r="348" spans="1:11" x14ac:dyDescent="0.3">
      <c r="A348" s="8">
        <v>45368</v>
      </c>
      <c r="B348" s="9" t="s">
        <v>10</v>
      </c>
      <c r="C348" s="9" t="str">
        <f t="shared" si="20"/>
        <v>Campaign 347</v>
      </c>
      <c r="D348" s="9">
        <v>111</v>
      </c>
      <c r="E348" s="9">
        <v>44</v>
      </c>
      <c r="F348" s="9">
        <v>295</v>
      </c>
      <c r="G348" s="9">
        <v>0.4</v>
      </c>
      <c r="H348" s="9">
        <v>2200</v>
      </c>
      <c r="I348" s="10">
        <f t="shared" si="21"/>
        <v>2.6576576576576576</v>
      </c>
      <c r="J348" s="10">
        <f t="shared" si="22"/>
        <v>6.7045454545454541</v>
      </c>
      <c r="K348" s="11">
        <f t="shared" si="23"/>
        <v>6.4576271186440675</v>
      </c>
    </row>
    <row r="349" spans="1:11" x14ac:dyDescent="0.3">
      <c r="A349" s="8">
        <v>45369</v>
      </c>
      <c r="B349" s="9" t="s">
        <v>10</v>
      </c>
      <c r="C349" s="9" t="str">
        <f t="shared" si="20"/>
        <v>Campaign 348</v>
      </c>
      <c r="D349" s="9">
        <v>51</v>
      </c>
      <c r="E349" s="9">
        <v>36</v>
      </c>
      <c r="F349" s="9">
        <v>367</v>
      </c>
      <c r="G349" s="9">
        <v>0.71</v>
      </c>
      <c r="H349" s="9">
        <v>1800</v>
      </c>
      <c r="I349" s="10">
        <f t="shared" si="21"/>
        <v>7.1960784313725492</v>
      </c>
      <c r="J349" s="10">
        <f t="shared" si="22"/>
        <v>10.194444444444445</v>
      </c>
      <c r="K349" s="11">
        <f t="shared" si="23"/>
        <v>3.9046321525885559</v>
      </c>
    </row>
    <row r="350" spans="1:11" x14ac:dyDescent="0.3">
      <c r="A350" s="8">
        <v>45370</v>
      </c>
      <c r="B350" s="9" t="s">
        <v>10</v>
      </c>
      <c r="C350" s="9" t="str">
        <f t="shared" si="20"/>
        <v>Campaign 349</v>
      </c>
      <c r="D350" s="9">
        <v>71</v>
      </c>
      <c r="E350" s="9">
        <v>17</v>
      </c>
      <c r="F350" s="9">
        <v>597</v>
      </c>
      <c r="G350" s="9">
        <v>0.24</v>
      </c>
      <c r="H350" s="9">
        <v>850</v>
      </c>
      <c r="I350" s="10">
        <f t="shared" si="21"/>
        <v>8.408450704225352</v>
      </c>
      <c r="J350" s="10">
        <f t="shared" si="22"/>
        <v>35.117647058823529</v>
      </c>
      <c r="K350" s="11">
        <f t="shared" si="23"/>
        <v>0.42378559463986598</v>
      </c>
    </row>
    <row r="351" spans="1:11" x14ac:dyDescent="0.3">
      <c r="A351" s="8">
        <v>45371</v>
      </c>
      <c r="B351" s="9" t="s">
        <v>10</v>
      </c>
      <c r="C351" s="9" t="str">
        <f t="shared" si="20"/>
        <v>Campaign 350</v>
      </c>
      <c r="D351" s="9">
        <v>77</v>
      </c>
      <c r="E351" s="9">
        <v>35</v>
      </c>
      <c r="F351" s="9">
        <v>1670</v>
      </c>
      <c r="G351" s="9">
        <v>0.45</v>
      </c>
      <c r="H351" s="9">
        <v>1750</v>
      </c>
      <c r="I351" s="10">
        <f t="shared" si="21"/>
        <v>21.688311688311689</v>
      </c>
      <c r="J351" s="10">
        <f t="shared" si="22"/>
        <v>47.714285714285715</v>
      </c>
      <c r="K351" s="11">
        <f t="shared" si="23"/>
        <v>4.790419161676647E-2</v>
      </c>
    </row>
    <row r="352" spans="1:11" x14ac:dyDescent="0.3">
      <c r="A352" s="8">
        <v>45372</v>
      </c>
      <c r="B352" s="9" t="s">
        <v>10</v>
      </c>
      <c r="C352" s="9" t="str">
        <f t="shared" si="20"/>
        <v>Campaign 351</v>
      </c>
      <c r="D352" s="9">
        <v>46</v>
      </c>
      <c r="E352" s="9">
        <v>34</v>
      </c>
      <c r="F352" s="9">
        <v>1168</v>
      </c>
      <c r="G352" s="9">
        <v>0.74</v>
      </c>
      <c r="H352" s="9">
        <v>1700</v>
      </c>
      <c r="I352" s="10">
        <f t="shared" si="21"/>
        <v>25.391304347826086</v>
      </c>
      <c r="J352" s="10">
        <f t="shared" si="22"/>
        <v>34.352941176470587</v>
      </c>
      <c r="K352" s="11">
        <f t="shared" si="23"/>
        <v>0.45547945205479451</v>
      </c>
    </row>
    <row r="353" spans="1:11" x14ac:dyDescent="0.3">
      <c r="A353" s="8">
        <v>45373</v>
      </c>
      <c r="B353" s="9" t="s">
        <v>10</v>
      </c>
      <c r="C353" s="9" t="str">
        <f t="shared" si="20"/>
        <v>Campaign 352</v>
      </c>
      <c r="D353" s="9">
        <v>46</v>
      </c>
      <c r="E353" s="9">
        <v>31</v>
      </c>
      <c r="F353" s="9">
        <v>135</v>
      </c>
      <c r="G353" s="9">
        <v>0.67</v>
      </c>
      <c r="H353" s="9">
        <v>1550</v>
      </c>
      <c r="I353" s="10">
        <f t="shared" si="21"/>
        <v>2.9347826086956523</v>
      </c>
      <c r="J353" s="10">
        <f t="shared" si="22"/>
        <v>4.354838709677419</v>
      </c>
      <c r="K353" s="11">
        <f t="shared" si="23"/>
        <v>10.481481481481481</v>
      </c>
    </row>
    <row r="354" spans="1:11" x14ac:dyDescent="0.3">
      <c r="A354" s="8">
        <v>45374</v>
      </c>
      <c r="B354" s="9" t="s">
        <v>10</v>
      </c>
      <c r="C354" s="9" t="str">
        <f t="shared" si="20"/>
        <v>Campaign 353</v>
      </c>
      <c r="D354" s="9">
        <v>99</v>
      </c>
      <c r="E354" s="9">
        <v>36</v>
      </c>
      <c r="F354" s="9">
        <v>451</v>
      </c>
      <c r="G354" s="9">
        <v>0.36</v>
      </c>
      <c r="H354" s="9">
        <v>1800</v>
      </c>
      <c r="I354" s="10">
        <f t="shared" si="21"/>
        <v>4.5555555555555554</v>
      </c>
      <c r="J354" s="10">
        <f t="shared" si="22"/>
        <v>12.527777777777779</v>
      </c>
      <c r="K354" s="11">
        <f t="shared" si="23"/>
        <v>2.9911308203991132</v>
      </c>
    </row>
    <row r="355" spans="1:11" x14ac:dyDescent="0.3">
      <c r="A355" s="8">
        <v>45375</v>
      </c>
      <c r="B355" s="9" t="s">
        <v>10</v>
      </c>
      <c r="C355" s="9" t="str">
        <f t="shared" si="20"/>
        <v>Campaign 354</v>
      </c>
      <c r="D355" s="9">
        <v>131</v>
      </c>
      <c r="E355" s="9">
        <v>43</v>
      </c>
      <c r="F355" s="9">
        <v>283</v>
      </c>
      <c r="G355" s="9">
        <v>0.33</v>
      </c>
      <c r="H355" s="9">
        <v>2150</v>
      </c>
      <c r="I355" s="10">
        <f t="shared" si="21"/>
        <v>2.1603053435114505</v>
      </c>
      <c r="J355" s="10">
        <f t="shared" si="22"/>
        <v>6.5813953488372094</v>
      </c>
      <c r="K355" s="11">
        <f t="shared" si="23"/>
        <v>6.5971731448763249</v>
      </c>
    </row>
    <row r="356" spans="1:11" x14ac:dyDescent="0.3">
      <c r="A356" s="8">
        <v>45376</v>
      </c>
      <c r="B356" s="9" t="s">
        <v>10</v>
      </c>
      <c r="C356" s="9" t="str">
        <f t="shared" si="20"/>
        <v>Campaign 355</v>
      </c>
      <c r="D356" s="9">
        <v>69</v>
      </c>
      <c r="E356" s="9">
        <v>45</v>
      </c>
      <c r="F356" s="9">
        <v>806</v>
      </c>
      <c r="G356" s="9">
        <v>0.65</v>
      </c>
      <c r="H356" s="9">
        <v>2250</v>
      </c>
      <c r="I356" s="10">
        <f t="shared" si="21"/>
        <v>11.681159420289855</v>
      </c>
      <c r="J356" s="10">
        <f t="shared" si="22"/>
        <v>17.911111111111111</v>
      </c>
      <c r="K356" s="11">
        <f t="shared" si="23"/>
        <v>1.7915632754342432</v>
      </c>
    </row>
    <row r="357" spans="1:11" x14ac:dyDescent="0.3">
      <c r="A357" s="8">
        <v>45377</v>
      </c>
      <c r="B357" s="9" t="s">
        <v>10</v>
      </c>
      <c r="C357" s="9" t="str">
        <f t="shared" si="20"/>
        <v>Campaign 356</v>
      </c>
      <c r="D357" s="9">
        <v>44</v>
      </c>
      <c r="E357" s="9">
        <v>39</v>
      </c>
      <c r="F357" s="9">
        <v>1499</v>
      </c>
      <c r="G357" s="9">
        <v>0.89</v>
      </c>
      <c r="H357" s="9">
        <v>1950</v>
      </c>
      <c r="I357" s="10">
        <f t="shared" si="21"/>
        <v>34.06818181818182</v>
      </c>
      <c r="J357" s="10">
        <f t="shared" si="22"/>
        <v>38.435897435897438</v>
      </c>
      <c r="K357" s="11">
        <f t="shared" si="23"/>
        <v>0.30086724482988658</v>
      </c>
    </row>
    <row r="358" spans="1:11" x14ac:dyDescent="0.3">
      <c r="A358" s="8">
        <v>45378</v>
      </c>
      <c r="B358" s="9" t="s">
        <v>10</v>
      </c>
      <c r="C358" s="9" t="str">
        <f t="shared" si="20"/>
        <v>Campaign 357</v>
      </c>
      <c r="D358" s="9">
        <v>71</v>
      </c>
      <c r="E358" s="9">
        <v>31</v>
      </c>
      <c r="F358" s="9">
        <v>887</v>
      </c>
      <c r="G358" s="9">
        <v>0.44</v>
      </c>
      <c r="H358" s="9">
        <v>1550</v>
      </c>
      <c r="I358" s="10">
        <f t="shared" si="21"/>
        <v>12.492957746478874</v>
      </c>
      <c r="J358" s="10">
        <f t="shared" si="22"/>
        <v>28.612903225806452</v>
      </c>
      <c r="K358" s="11">
        <f t="shared" si="23"/>
        <v>0.74746335963923338</v>
      </c>
    </row>
    <row r="359" spans="1:11" x14ac:dyDescent="0.3">
      <c r="A359" s="8">
        <v>45379</v>
      </c>
      <c r="B359" s="9" t="s">
        <v>10</v>
      </c>
      <c r="C359" s="9" t="str">
        <f t="shared" si="20"/>
        <v>Campaign 358</v>
      </c>
      <c r="D359" s="9">
        <v>134</v>
      </c>
      <c r="E359" s="9">
        <v>28</v>
      </c>
      <c r="F359" s="9">
        <v>1140</v>
      </c>
      <c r="G359" s="9">
        <v>0.21</v>
      </c>
      <c r="H359" s="9">
        <v>1400</v>
      </c>
      <c r="I359" s="10">
        <f t="shared" si="21"/>
        <v>8.5074626865671643</v>
      </c>
      <c r="J359" s="10">
        <f t="shared" si="22"/>
        <v>40.714285714285715</v>
      </c>
      <c r="K359" s="11">
        <f t="shared" si="23"/>
        <v>0.22807017543859648</v>
      </c>
    </row>
    <row r="360" spans="1:11" x14ac:dyDescent="0.3">
      <c r="A360" s="8">
        <v>45380</v>
      </c>
      <c r="B360" s="9" t="s">
        <v>10</v>
      </c>
      <c r="C360" s="9" t="str">
        <f t="shared" si="20"/>
        <v>Campaign 359</v>
      </c>
      <c r="D360" s="9">
        <v>49</v>
      </c>
      <c r="E360" s="9">
        <v>24</v>
      </c>
      <c r="F360" s="9">
        <v>1297</v>
      </c>
      <c r="G360" s="9">
        <v>0.49</v>
      </c>
      <c r="H360" s="9">
        <v>1200</v>
      </c>
      <c r="I360" s="10">
        <f t="shared" si="21"/>
        <v>26.469387755102041</v>
      </c>
      <c r="J360" s="10">
        <f t="shared" si="22"/>
        <v>54.041666666666664</v>
      </c>
      <c r="K360" s="11">
        <f t="shared" si="23"/>
        <v>-7.4787972243639173E-2</v>
      </c>
    </row>
    <row r="361" spans="1:11" x14ac:dyDescent="0.3">
      <c r="A361" s="8">
        <v>45381</v>
      </c>
      <c r="B361" s="9" t="s">
        <v>10</v>
      </c>
      <c r="C361" s="9" t="str">
        <f t="shared" si="20"/>
        <v>Campaign 360</v>
      </c>
      <c r="D361" s="9">
        <v>134</v>
      </c>
      <c r="E361" s="9">
        <v>33</v>
      </c>
      <c r="F361" s="9">
        <v>397</v>
      </c>
      <c r="G361" s="9">
        <v>0.25</v>
      </c>
      <c r="H361" s="9">
        <v>1650</v>
      </c>
      <c r="I361" s="10">
        <f t="shared" si="21"/>
        <v>2.9626865671641789</v>
      </c>
      <c r="J361" s="10">
        <f t="shared" si="22"/>
        <v>12.030303030303031</v>
      </c>
      <c r="K361" s="11">
        <f t="shared" si="23"/>
        <v>3.1561712846347607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5"/>
  <sheetViews>
    <sheetView workbookViewId="0">
      <selection activeCell="B3" sqref="B3"/>
    </sheetView>
  </sheetViews>
  <sheetFormatPr defaultRowHeight="14.4" x14ac:dyDescent="0.3"/>
  <cols>
    <col min="2" max="2" width="13.109375" bestFit="1" customWidth="1"/>
    <col min="3" max="3" width="11.21875" bestFit="1" customWidth="1"/>
    <col min="4" max="4" width="8.33203125" bestFit="1" customWidth="1"/>
  </cols>
  <sheetData>
    <row r="3" spans="2:4" x14ac:dyDescent="0.3">
      <c r="B3" s="3" t="s">
        <v>1</v>
      </c>
      <c r="C3" s="3" t="s">
        <v>3</v>
      </c>
      <c r="D3" s="3" t="s">
        <v>2</v>
      </c>
    </row>
    <row r="4" spans="2:4" x14ac:dyDescent="0.3">
      <c r="B4" s="3" t="s">
        <v>8</v>
      </c>
      <c r="C4" s="9">
        <v>2320</v>
      </c>
      <c r="D4" s="9">
        <v>8041</v>
      </c>
    </row>
    <row r="5" spans="2:4" x14ac:dyDescent="0.3">
      <c r="B5" s="3" t="s">
        <v>7</v>
      </c>
      <c r="C5" s="9">
        <v>2352</v>
      </c>
      <c r="D5" s="9">
        <v>7979</v>
      </c>
    </row>
    <row r="6" spans="2:4" x14ac:dyDescent="0.3">
      <c r="B6" s="3" t="s">
        <v>10</v>
      </c>
      <c r="C6" s="9">
        <v>2646</v>
      </c>
      <c r="D6" s="9">
        <v>7359</v>
      </c>
    </row>
    <row r="7" spans="2:4" x14ac:dyDescent="0.3">
      <c r="B7" s="3" t="s">
        <v>9</v>
      </c>
      <c r="C7" s="9">
        <v>2498</v>
      </c>
      <c r="D7" s="9">
        <v>7256</v>
      </c>
    </row>
    <row r="11" spans="2:4" x14ac:dyDescent="0.3">
      <c r="B11" s="3" t="s">
        <v>1</v>
      </c>
      <c r="C11" s="3" t="s">
        <v>4</v>
      </c>
      <c r="D11" s="3" t="s">
        <v>6</v>
      </c>
    </row>
    <row r="12" spans="2:4" x14ac:dyDescent="0.3">
      <c r="B12" s="14" t="s">
        <v>8</v>
      </c>
      <c r="C12" s="9">
        <v>93776</v>
      </c>
      <c r="D12" s="9">
        <v>116000</v>
      </c>
    </row>
    <row r="13" spans="2:4" x14ac:dyDescent="0.3">
      <c r="B13" s="3" t="s">
        <v>7</v>
      </c>
      <c r="C13" s="9">
        <v>96717</v>
      </c>
      <c r="D13" s="9">
        <v>117600</v>
      </c>
    </row>
    <row r="14" spans="2:4" x14ac:dyDescent="0.3">
      <c r="B14" s="3" t="s">
        <v>10</v>
      </c>
      <c r="C14" s="9">
        <v>92768</v>
      </c>
      <c r="D14" s="9">
        <v>132300</v>
      </c>
    </row>
    <row r="15" spans="2:4" x14ac:dyDescent="0.3">
      <c r="B15" s="3" t="s">
        <v>9</v>
      </c>
      <c r="C15" s="9">
        <v>85622</v>
      </c>
      <c r="D15" s="9">
        <v>124900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PivotTable</vt:lpstr>
      <vt:lpstr>Raw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Swapnil18</dc:creator>
  <cp:lastModifiedBy>Swapnil Yogi</cp:lastModifiedBy>
  <dcterms:created xsi:type="dcterms:W3CDTF">2025-03-17T09:15:16Z</dcterms:created>
  <dcterms:modified xsi:type="dcterms:W3CDTF">2026-02-26T17:49:31Z</dcterms:modified>
</cp:coreProperties>
</file>